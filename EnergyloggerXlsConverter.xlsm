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xl/vbaProjectSignature.bin" ContentType="application/vnd.ms-office.vbaProjectSignature"/>
  <Override PartName="/xl/vbaProjectSignatureAgile.bin" ContentType="application/vnd.ms-office.vbaProjectSignatureAgile"/>
  <Override PartName="/xl/vbaProjectSignatureV3.bin" ContentType="application/vnd.ms-office.vbaProjectSignatureV3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729" codeName="{B6124F1A-AFFB-F854-7757-9A1D4C6FC43C}"/>
  <workbookPr codeName="DieseArbeitsmappe" defaultThemeVersion="124226"/>
  <mc:AlternateContent xmlns:mc="http://schemas.openxmlformats.org/markup-compatibility/2006">
    <mc:Choice Requires="x15">
      <x15ac:absPath xmlns:x15ac="http://schemas.microsoft.com/office/spreadsheetml/2010/11/ac" url="C:\Users\volke\source\repos\EnergyLogger2CSV\"/>
    </mc:Choice>
  </mc:AlternateContent>
  <xr:revisionPtr revIDLastSave="0" documentId="13_ncr:1_{339EF8C9-3F41-46E1-BA50-EDDF0F5A1251}" xr6:coauthVersionLast="47" xr6:coauthVersionMax="47" xr10:uidLastSave="{00000000-0000-0000-0000-000000000000}"/>
  <bookViews>
    <workbookView xWindow="-120" yWindow="-120" windowWidth="29040" windowHeight="16440" xr2:uid="{00000000-000D-0000-FFFF-FFFF00000000}"/>
  </bookViews>
  <sheets>
    <sheet name="Daten" sheetId="1" r:id="rId1"/>
    <sheet name="InfoZsf" sheetId="2" state="hidden" r:id="rId2"/>
    <sheet name="bin-File-Structures" sheetId="89" r:id="rId3"/>
    <sheet name="bin-File-Structures_2" sheetId="4" r:id="rId4"/>
    <sheet name="bin-File-Structures_3" sheetId="3" r:id="rId5"/>
    <sheet name="Sheet3" sheetId="87" r:id="rId6"/>
    <sheet name="Perl-Skript" sheetId="54" r:id="rId7"/>
    <sheet name="C++ code_orig" sheetId="55" r:id="rId8"/>
    <sheet name="C++ code_VS2019" sheetId="88" r:id="rId9"/>
  </sheets>
  <definedNames>
    <definedName name="_xlnm._FilterDatabase" localSheetId="0" hidden="1">Daten!$A$19:$L$19</definedName>
    <definedName name="DatenTabelle">Daten!$A$19</definedName>
    <definedName name="InfoTabelle">Daten!$C$6</definedName>
    <definedName name="nwNm">#REF!</definedName>
    <definedName name="_xlnm.Print_Area" localSheetId="0">Daten!$A$17:$J$19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302" i="54" l="1"/>
  <c r="B307" i="54"/>
  <c r="B310" i="54"/>
  <c r="B311" i="54"/>
  <c r="B313" i="54"/>
  <c r="B314" i="54"/>
  <c r="B315" i="54"/>
  <c r="B324" i="54"/>
  <c r="B325" i="54"/>
  <c r="B326" i="54"/>
  <c r="O6" i="2"/>
  <c r="O4" i="2"/>
  <c r="O5" i="2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volker frank</author>
  </authors>
  <commentList>
    <comment ref="D19" authorId="0" shapeId="0" xr:uid="{00000000-0006-0000-0000-000001000000}">
      <text>
        <r>
          <rPr>
            <b/>
            <sz val="9"/>
            <color indexed="81"/>
            <rFont val="Tahoma"/>
            <family val="2"/>
          </rPr>
          <t>volker frank:</t>
        </r>
        <r>
          <rPr>
            <sz val="9"/>
            <color indexed="81"/>
            <rFont val="Tahoma"/>
            <family val="2"/>
          </rPr>
          <t xml:space="preserve">
voltage</t>
        </r>
      </text>
    </comment>
    <comment ref="E19" authorId="0" shapeId="0" xr:uid="{00000000-0006-0000-0000-000002000000}">
      <text>
        <r>
          <rPr>
            <b/>
            <sz val="9"/>
            <color indexed="81"/>
            <rFont val="Tahoma"/>
            <family val="2"/>
          </rPr>
          <t>volker frank:</t>
        </r>
        <r>
          <rPr>
            <sz val="9"/>
            <color indexed="81"/>
            <rFont val="Tahoma"/>
            <family val="2"/>
          </rPr>
          <t xml:space="preserve">
current</t>
        </r>
      </text>
    </comment>
    <comment ref="F19" authorId="0" shapeId="0" xr:uid="{00000000-0006-0000-0000-000003000000}">
      <text>
        <r>
          <rPr>
            <b/>
            <sz val="9"/>
            <color indexed="81"/>
            <rFont val="Tahoma"/>
            <family val="2"/>
          </rPr>
          <t>volker frank:</t>
        </r>
        <r>
          <rPr>
            <sz val="9"/>
            <color indexed="81"/>
            <rFont val="Tahoma"/>
            <family val="2"/>
          </rPr>
          <t xml:space="preserve">
cosine(Phi)</t>
        </r>
      </text>
    </comment>
    <comment ref="G19" authorId="0" shapeId="0" xr:uid="{00000000-0006-0000-0000-000004000000}">
      <text>
        <r>
          <rPr>
            <b/>
            <sz val="9"/>
            <color indexed="81"/>
            <rFont val="Tahoma"/>
            <family val="2"/>
          </rPr>
          <t>volker frank:</t>
        </r>
        <r>
          <rPr>
            <sz val="9"/>
            <color indexed="81"/>
            <rFont val="Tahoma"/>
            <family val="2"/>
          </rPr>
          <t xml:space="preserve">
voltage*current*Power Factor , i.e. cosine(Phi)</t>
        </r>
      </text>
    </comment>
    <comment ref="H19" authorId="0" shapeId="0" xr:uid="{00000000-0006-0000-0000-000005000000}">
      <text>
        <r>
          <rPr>
            <b/>
            <sz val="9"/>
            <color indexed="81"/>
            <rFont val="Tahoma"/>
            <family val="2"/>
          </rPr>
          <t>volker frank:</t>
        </r>
        <r>
          <rPr>
            <sz val="9"/>
            <color indexed="81"/>
            <rFont val="Tahoma"/>
            <family val="2"/>
          </rPr>
          <t xml:space="preserve">
Spannung*Strom</t>
        </r>
      </text>
    </comment>
    <comment ref="I19" authorId="0" shapeId="0" xr:uid="{00000000-0006-0000-0000-000006000000}">
      <text>
        <r>
          <rPr>
            <b/>
            <sz val="9"/>
            <color indexed="81"/>
            <rFont val="Tahoma"/>
            <family val="2"/>
          </rPr>
          <t>volker frank:</t>
        </r>
        <r>
          <rPr>
            <sz val="9"/>
            <color indexed="81"/>
            <rFont val="Tahoma"/>
            <family val="2"/>
          </rPr>
          <t xml:space="preserve">
volker frank:
voltage*current*Power Factor , i.e. sine(Phi)</t>
        </r>
      </text>
    </comment>
    <comment ref="K19" authorId="0" shapeId="0" xr:uid="{00000000-0006-0000-0000-000007000000}">
      <text>
        <r>
          <rPr>
            <b/>
            <sz val="9"/>
            <color indexed="81"/>
            <rFont val="Tahoma"/>
            <family val="2"/>
          </rPr>
          <t>volker frank:</t>
        </r>
        <r>
          <rPr>
            <sz val="9"/>
            <color indexed="81"/>
            <rFont val="Tahoma"/>
            <family val="2"/>
          </rPr>
          <t xml:space="preserve">
for tracing outliers</t>
        </r>
      </text>
    </comment>
    <comment ref="L19" authorId="0" shapeId="0" xr:uid="{00000000-0006-0000-0000-000008000000}">
      <text>
        <r>
          <rPr>
            <b/>
            <sz val="9"/>
            <color indexed="81"/>
            <rFont val="Tahoma"/>
            <family val="2"/>
          </rPr>
          <t>volker frank:</t>
        </r>
        <r>
          <rPr>
            <sz val="9"/>
            <color indexed="81"/>
            <rFont val="Tahoma"/>
            <family val="2"/>
          </rPr>
          <t xml:space="preserve">
required to time axis in charts</t>
        </r>
      </text>
    </comment>
  </commentList>
</comments>
</file>

<file path=xl/sharedStrings.xml><?xml version="1.0" encoding="utf-8"?>
<sst xmlns="http://schemas.openxmlformats.org/spreadsheetml/2006/main" count="729" uniqueCount="566">
  <si>
    <t>Info</t>
  </si>
  <si>
    <t>Datum</t>
  </si>
  <si>
    <t>Uhrzeit</t>
  </si>
  <si>
    <t>Spannung [V]</t>
  </si>
  <si>
    <t>Strom [A]</t>
  </si>
  <si>
    <t>Power Faktor [-]</t>
  </si>
  <si>
    <t>Arbeit [kWh]</t>
  </si>
  <si>
    <t>Gesamt</t>
  </si>
  <si>
    <t>Gestern</t>
  </si>
  <si>
    <t>vor 2 Tagen</t>
  </si>
  <si>
    <t>vor 3 Tagen</t>
  </si>
  <si>
    <t>vor 4 Tagen</t>
  </si>
  <si>
    <t>vor 5 Tagen</t>
  </si>
  <si>
    <t>vor 6 Tagen</t>
  </si>
  <si>
    <t>vor 7 Tagen</t>
  </si>
  <si>
    <t>vor 8 Tagen</t>
  </si>
  <si>
    <t>vor 9 Tagen</t>
  </si>
  <si>
    <t>Geräte ID</t>
  </si>
  <si>
    <t>Tarif 1 [€]</t>
  </si>
  <si>
    <t>Tarif 2 [€]</t>
  </si>
  <si>
    <t>Verbrauch [kWh]</t>
  </si>
  <si>
    <t>Aufzeichnungszeit [h]</t>
  </si>
  <si>
    <t>Einschaltdauer [h]</t>
  </si>
  <si>
    <t>Startzeit</t>
  </si>
  <si>
    <t>Startdatum</t>
  </si>
  <si>
    <t>Heute</t>
  </si>
  <si>
    <t>Scheinleistung [VA]</t>
  </si>
  <si>
    <t>Blindleistung [var]</t>
  </si>
  <si>
    <t>Wirkleistung [W]</t>
  </si>
  <si>
    <t>ReadDir()</t>
  </si>
  <si>
    <t>Verzeichnis auswählen</t>
  </si>
  <si>
    <t>Dateinamen *.bin einlesen</t>
  </si>
  <si>
    <t>Dateinamen aufsteigend sortieren</t>
  </si>
  <si>
    <t>Gesamtdatensatz enlog as EnergyLoggerStruct befüllen</t>
  </si>
  <si>
    <t>Call ProcessInformationFile(ByteArray, EnLog.Info)</t>
  </si>
  <si>
    <t>iTmp = ProcessDataFile(ByteArray, EnLog.Data(DataCtr))</t>
  </si>
  <si>
    <t>'Ausgabe in Excel Sheet</t>
  </si>
  <si>
    <t>Anfangskennung kann mehrfach in Daten-Datei vorhanden sein</t>
  </si>
  <si>
    <t>2x</t>
  </si>
  <si>
    <t>3x</t>
  </si>
  <si>
    <t>Daten-Datei nach "Daten"</t>
  </si>
  <si>
    <t>Ino-Daten nach "InfoZsf"</t>
  </si>
  <si>
    <t>https://pmhahn.de/linux/energyLogger/index.html</t>
  </si>
  <si>
    <t>Voltcraft Energy Logger 3500</t>
  </si>
  <si>
    <r>
      <t xml:space="preserve">Der Energy-Logger speichert in einem internen Speicher die Meßwerte von bis zu 6 Monaten. Diese können über eine </t>
    </r>
    <r>
      <rPr>
        <i/>
        <sz val="10"/>
        <rFont val="Arial"/>
        <family val="2"/>
      </rPr>
      <t>FAT-32</t>
    </r>
    <r>
      <rPr>
        <sz val="10"/>
        <rFont val="Arial"/>
        <family val="2"/>
      </rPr>
      <t xml:space="preserve">-formatierte SD-Card aus dem Gerät ausgelesen werden. Für jeden Tag wird eine eigene Datei angelegt, die einem eigenen Binärformat unterliegt. Zur Auswertung gibt es eine Windows-Software und ein von </t>
    </r>
    <r>
      <rPr>
        <i/>
        <sz val="10"/>
        <rFont val="Arial"/>
        <family val="2"/>
      </rPr>
      <t>G. Noorlander</t>
    </r>
    <r>
      <rPr>
        <sz val="10"/>
        <rFont val="Arial"/>
        <family val="2"/>
      </rPr>
      <t xml:space="preserve"> in Delphi geschriebenes Kommandozeilenprogramm, das sich auch mit Free Pascal übersetzen lässt.</t>
    </r>
  </si>
  <si>
    <t>Da das Programm noch einige kleinere Fehler enthielt und ich eine plattformunabhängige Lösung suchte, habe ich eine Perl-Version davon erstellt.</t>
  </si>
  <si>
    <t>Formatbeschreibung</t>
  </si>
  <si>
    <t>Dateiname</t>
  </si>
  <si>
    <r>
      <t xml:space="preserve">Der Dateiname setzt sich aus der </t>
    </r>
    <r>
      <rPr>
        <i/>
        <sz val="10"/>
        <rFont val="Arial"/>
        <family val="2"/>
      </rPr>
      <t>Id des Loggers</t>
    </r>
    <r>
      <rPr>
        <sz val="10"/>
        <rFont val="Arial"/>
        <family val="2"/>
      </rPr>
      <t xml:space="preserve"> (A=0, B=1, C=2, …) gefolgt von einer 7-stelligen hexadezimalen </t>
    </r>
    <r>
      <rPr>
        <i/>
        <sz val="10"/>
        <rFont val="Arial"/>
        <family val="2"/>
      </rPr>
      <t>Datumsangabe</t>
    </r>
    <r>
      <rPr>
        <sz val="10"/>
        <rFont val="Arial"/>
        <family val="2"/>
      </rPr>
      <t xml:space="preserve"> zusammen. (36 Stunden entsprechen ca. +10…12)</t>
    </r>
  </si>
  <si>
    <t>Setup-Datei</t>
  </si>
  <si>
    <r>
      <t xml:space="preserve">Das Gerät kann durch erstellen der Datei </t>
    </r>
    <r>
      <rPr>
        <i/>
        <sz val="10"/>
        <rFont val="Arial"/>
        <family val="2"/>
      </rPr>
      <t>setupel3.bin</t>
    </r>
    <r>
      <rPr>
        <sz val="10"/>
        <rFont val="Arial"/>
        <family val="2"/>
      </rPr>
      <t xml:space="preserve"> konfiguriert werden.</t>
    </r>
  </si>
  <si>
    <t>Offset</t>
  </si>
  <si>
    <t>Beschreibung</t>
  </si>
  <si>
    <t>0…2</t>
  </si>
  <si>
    <t>Magic: 184 173 242</t>
  </si>
  <si>
    <t>Logger-Id</t>
  </si>
  <si>
    <t>Zeitformat: 24h=2, 12h=1</t>
  </si>
  <si>
    <t>Datumsformat: YMD=1, DMY=2</t>
  </si>
  <si>
    <t>6…10</t>
  </si>
  <si>
    <t>hour, min, month, month_day, year_since_2000</t>
  </si>
  <si>
    <t>Währung: €=8, $=4, sFr=2, £=1</t>
  </si>
  <si>
    <t>12…15</t>
  </si>
  <si>
    <t>Tarif 1: ASCII[4]</t>
  </si>
  <si>
    <t>16…19</t>
  </si>
  <si>
    <t>Tarif 2: ASCII[4]</t>
  </si>
  <si>
    <t>Info-Datei</t>
  </si>
  <si>
    <t>Die Datei ist 102 Byte groß und enthält vermutlich die Konfigurationsdaten.</t>
  </si>
  <si>
    <t>0…4</t>
  </si>
  <si>
    <t>"INFO:"</t>
  </si>
  <si>
    <t>5+3i…7+3i</t>
  </si>
  <si>
    <t>3: (wh1) (05 3a 53) (05 32 38)</t>
  </si>
  <si>
    <t>14+3i…16+3i</t>
  </si>
  <si>
    <t>10: (wh2) (00 02 3d) (00 04 23) (00 08 b1) (00 06 e9) (00 07 d5) (00 07 49) (00 08 15) (00 07 fe) (00 08 38)</t>
  </si>
  <si>
    <t>44+3i…46+3i</t>
  </si>
  <si>
    <t>10: (04 b1) (09 60) (09 60) (09 60) (09 60) (09 60) (09 60) (09 60) (09 60) (09 60)</t>
  </si>
  <si>
    <t>64+3i…66+3i</t>
  </si>
  <si>
    <t>10: (04 b0) (09 5f) (09 5f) (09 5f) (09 5f) (09 5f) (09 5f) (09 5f) (09 5f) (09 5f)</t>
  </si>
  <si>
    <t>0x00</t>
  </si>
  <si>
    <t>85…88</t>
  </si>
  <si>
    <t>89…92</t>
  </si>
  <si>
    <t>93…97</t>
  </si>
  <si>
    <t>(hour, min, month_day, month, year_since_2000)</t>
  </si>
  <si>
    <t>98…101</t>
  </si>
  <si>
    <t>0xff 0xff 0xff 0xff</t>
  </si>
  <si>
    <t>Daten-Datei</t>
  </si>
  <si>
    <t>Magic: 0xe0 0xc5 0xea</t>
  </si>
  <si>
    <t>3…7</t>
  </si>
  <si>
    <t>(month, month_day, year_since_2000, hour, min)</t>
  </si>
  <si>
    <t>8+5i…12+5i</t>
  </si>
  <si>
    <t>(16bit voltage [dV], 16bit current [mA], 8bit cos-phi [%])</t>
  </si>
  <si>
    <t>?</t>
  </si>
  <si>
    <t>0xff</t>
  </si>
  <si>
    <t>INFO:</t>
  </si>
  <si>
    <t>ist immer 10.200 Byte groß und enthält ursprünglich nur FF, die mit den geloggten Werten überschrieben werden, kann also bei kürzerer Aufzeichnungsdauer jede Menge FF enthalten</t>
  </si>
  <si>
    <t>#! /usr/bin/perl</t>
  </si>
  <si>
    <t>use Getopt::Long;</t>
  </si>
  <si>
    <t>use Text::CSV;</t>
  </si>
  <si>
    <t>use Time::Local;</t>
  </si>
  <si>
    <t>my $VERSION = "0.2.7-perl";</t>
  </si>
  <si>
    <t>my %CURRENCY = (</t>
  </si>
  <si>
    <t>euro =&gt; "€",</t>
  </si>
  <si>
    <t>dollar =&gt; "\$",</t>
  </si>
  <si>
    <t>pound =&gt; "£",</t>
  </si>
  <si>
    <t>sFr =&gt; "sFr"</t>
  </si>
  <si>
    <t>);</t>
  </si>
  <si>
    <t>my $YEAROFFSET = 2000;</t>
  </si>
  <si>
    <t>my $verbose, $debug;</t>
  </si>
  <si>
    <t>my $generateSetupFile;</t>
  </si>
  <si>
    <t>my $decimalSeparator = '.', $valueSeparator = ',', $dateformat = "ymd";</t>
  </si>
  <si>
    <t>my $outputWatt, $outputVa, $outputStart;</t>
  </si>
  <si>
    <t>my $tar1 = 10, $tar2 = 10, $loggerId = 0, $future = 1, $currency = "€";</t>
  </si>
  <si>
    <t>my $join = -1; # disabled</t>
  </si>
  <si>
    <t>my $funcHeader = \&amp;printHeader, $funcRow = \&amp;printFloat;</t>
  </si>
  <si>
    <t>GetOptions(</t>
  </si>
  <si>
    <t>help|h|? =&gt; \&amp;help,</t>
  </si>
  <si>
    <t>verbose|v:+ =&gt; \$verbose,</t>
  </si>
  <si>
    <t>debug|d =&gt; \$debug,</t>
  </si>
  <si>
    <t>set =&gt; \$generateSetupFile,</t>
  </si>
  <si>
    <t>dpcomma|dpc =&gt; sub { $decimalSeparator = ',' },</t>
  </si>
  <si>
    <t>dpdot|dpd =&gt; sub { $decimalSeparator = '.' },</t>
  </si>
  <si>
    <t>dutch =&gt; sub { $valueSeparator=";"; $decimalSeparator=","; $dateformat="dmy" },</t>
  </si>
  <si>
    <t>int =&gt; sub { $funcRow = \&amp;printInt },</t>
  </si>
  <si>
    <t>watt =&gt; \$outputWatt,</t>
  </si>
  <si>
    <t>va =&gt; \$outputVa,</t>
  </si>
  <si>
    <t>start =&gt; \$outputStart,</t>
  </si>
  <si>
    <t>values =&gt; sub { $funcHeader = sub { } },</t>
  </si>
  <si>
    <t>tab =&gt; sub { $valueSeparator = "\t" },</t>
  </si>
  <si>
    <t>sc =&gt; sub { $valueSeparator = ";" },</t>
  </si>
  <si>
    <t>loggerid|id=i =&gt; \$loggerId,</t>
  </si>
  <si>
    <t>currency|cur=s =&gt; sub { $currency = $CURRENCY{$_[1]} or die "Unknown currency '".$_[1]."'\n" }, # euro dollar pound sFr</t>
  </si>
  <si>
    <t>future|fut=i =&gt; \$future,</t>
  </si>
  <si>
    <t>tar=i =&gt; sub { $tar1 = $tar2 = $_[1] },</t>
  </si>
  <si>
    <t>tar1=i =&gt; \$tar1,</t>
  </si>
  <si>
    <t>tar2=i =&gt; \$tar2,</t>
  </si>
  <si>
    <t>join|j=i =&gt; \$joinSessions,</t>
  </si>
  <si>
    <t>version =&gt; \&amp;version,</t>
  </si>
  <si>
    <t>if ($verbose) {</t>
  </si>
  <si>
    <t>print STDERR "Debug-mode: ".($debug ? "on" : "off")."\n";</t>
  </si>
  <si>
    <t>print STDERR "Value-separator        : $valueSeparator\n";</t>
  </si>
  <si>
    <t>print STDERR "Decimal-point separator: $decimalSeparator\n";</t>
  </si>
  <si>
    <t>print STDERR "Joining sessions which are max $joinSessions minutes apart\n" if $$joinSessions;</t>
  </si>
  <si>
    <t>print STDERR "Integer-mode: ".($outputInt ? "on" : "off")."\n";</t>
  </si>
  <si>
    <t>}</t>
  </si>
  <si>
    <t># Generarte a setup-file for the Energy Logger 3500</t>
  </si>
  <si>
    <t>if ($generateSetupFile) {</t>
  </si>
  <si>
    <t>my %TIMEFORMAT = ( 24=&gt;2, 12=&gt;1 );</t>
  </si>
  <si>
    <t>my %DATEFORMAT = ( YMD=&gt;1, DMY=&gt;2 );</t>
  </si>
  <si>
    <t>my %CURRENCY = ( "€"=&gt;8, "\$"=&gt;4, "sFr"=&gt;2, "£"=&gt;1 );</t>
  </si>
  <si>
    <t>my ($sec,$min,$hour,$mday,$mon,$year,$wday,$yday,$isdst) = localtime(time + 60*$future);</t>
  </si>
  <si>
    <t>my $tar = sprintf("%04d%04d", $tar1 % 10000, $tar2 % 10000);</t>
  </si>
  <si>
    <t>my @data = (</t>
  </si>
  <si>
    <t>184, 173, 242,</t>
  </si>
  <si>
    <t>$loggerId,</t>
  </si>
  <si>
    <t>$TIMEFORMAT{24},</t>
  </si>
  <si>
    <t>$DATEFORMAT{YMD},</t>
  </si>
  <si>
    <t>$hour, $min, $mon+1, $mday, 1900 + $year - $YEAROFFSET,</t>
  </si>
  <si>
    <t>$CURRENCY{$currency},</t>
  </si>
  <si>
    <t>split (//, $tar)</t>
  </si>
  <si>
    <t>open OUT, "&gt;setupel3.bin" or die "Error creating setup3.bin: $!\n";</t>
  </si>
  <si>
    <t>print OUT map(chr, @data);</t>
  </si>
  <si>
    <t>close OUT;</t>
  </si>
  <si>
    <t>print STDERR "Debug: Settingsfile, LoggerID: $loggerID\n";</t>
  </si>
  <si>
    <t>print STDERR "Debug: Settingsfile, #mins in future: $future\n";</t>
  </si>
  <si>
    <t>print STDERR "Debug: Settingsfile, Tarif1: $currency,$tar1\n";</t>
  </si>
  <si>
    <t>print STDERR "Debug: Settingsfile, Tarif2: $currency,$tar2\n";</t>
  </si>
  <si>
    <t>exit(0);</t>
  </si>
  <si>
    <t>my $csv = Text::CSV-&gt;new ({</t>
  </si>
  <si>
    <t>sep_char =&gt; $valueSeparator,</t>
  </si>
  <si>
    <t>#</t>
  </si>
  <si>
    <t>always_quote =&gt; 1</t>
  </si>
  <si>
    <t>});</t>
  </si>
  <si>
    <t># Output header</t>
  </si>
  <si>
    <t>&amp;$funcHeader;</t>
  </si>
  <si>
    <t>my $dateTime = 0, $sample = 1;</t>
  </si>
  <si>
    <t>for my $arg (sort {uc($a) cmp uc($b)} @ARGV) {</t>
  </si>
  <si>
    <t>my ($dir, $file) = $arg =~ /(?:(.*)\/)?(.+)/ or next;</t>
  </si>
  <si>
    <t>my ($loggerId, $dateInSec) = $file =~ /([[:xdigit:]])([[:xdigit:]]{7})\.bin/i or next;</t>
  </si>
  <si>
    <t>$loggerId = ord(uc($loggerId)) - ord 'A';</t>
  </si>
  <si>
    <t>$dateInSec = hex $dateInSec;</t>
  </si>
  <si>
    <t>print STDERR "$arg\t$dir\t$file\t$loggerId\t$dateInSec\n" if $debug;</t>
  </si>
  <si>
    <t>open DATA, "&lt;", "$arg" or die "Can't open file '$arg': $!\n";</t>
  </si>
  <si>
    <t>my $data;</t>
  </si>
  <si>
    <t>my $status = read DATA,$data,16384;</t>
  </si>
  <si>
    <t>close DATA;</t>
  </si>
  <si>
    <t>if (substr($data, 0, 5) eq 'INFO:') {</t>
  </si>
  <si>
    <t>print STDERR "INFO: $arg\n" if $debug;</t>
  </si>
  <si>
    <t># 02 55 3e</t>
  </si>
  <si>
    <t># 05 3a 53</t>
  </si>
  <si>
    <t># 05 32 38</t>
  </si>
  <si>
    <t># 00 00 30</t>
  </si>
  <si>
    <t># 00 02 3d</t>
  </si>
  <si>
    <t># 00 04 23</t>
  </si>
  <si>
    <t># 00 08 b1</t>
  </si>
  <si>
    <t># 00 06 e9</t>
  </si>
  <si>
    <t># 00 07 d5</t>
  </si>
  <si>
    <t># 00 07 49</t>
  </si>
  <si>
    <t># 00 08 15</t>
  </si>
  <si>
    <t># 00 07 fe</t>
  </si>
  <si>
    <t># 00 08 38</t>
  </si>
  <si>
    <t># 04 b1</t>
  </si>
  <si>
    <t># 09 60</t>
  </si>
  <si>
    <t># 04 b0</t>
  </si>
  <si>
    <t># 09 5f</t>
  </si>
  <si>
    <t># 00</t>
  </si>
  <si>
    <t>my $wh1 = unpack("N", "\0".substr $data,  5, 3);</t>
  </si>
  <si>
    <t>my $wh2 = unpack("N", "\0".substr $data, 14, 3);</t>
  </si>
  <si>
    <t>my $wh = $wh1 &lt; 16777215 ? $wh1 &gt; $wh2 ? $wh2 : $wh1 : 0;</t>
  </si>
  <si>
    <t>my $loggerId = unpack("C", substr $data, 84, 1);</t>
  </si>
  <si>
    <t>my $cost1 = bcd2perl(unpack("CCCC", substr $data, 85, 4)) / 1000.0;</t>
  </si>
  <si>
    <t>my $cost2 = bcd2perl(unpack("CCCC", substr $data, 89, 4)) / 1000.0;</t>
  </si>
  <si>
    <t>my ($hour, $min, $mday, $month, $year) = unpack("CCCCC", substr $data, 93, 5);</t>
  </si>
  <si>
    <t>$dateTime = timegm(0, $min, $hour, $mday, $month-1, $year+$YEAROFFSET-1900);</t>
  </si>
  <si>
    <t>print STDERR "Infofile-date : ".printDate($dateTime)."\n";</t>
  </si>
  <si>
    <t>printf STDERR "Infofile-cost1: %1.3f\n", $cost1;</t>
  </si>
  <si>
    <t>printf STDERR "Infofile-cost2: %1.3f\n", $cost2;</t>
  </si>
  <si>
    <t>print STDERR "Infofile-ID   : $loggerId\n";</t>
  </si>
  <si>
    <t>print STDERR "Infofile-Wh   : $wh\n";</t>
  </si>
  <si>
    <t>next;</t>
  </si>
  <si>
    <t>for (my $file=1; $data; $file=0,$sample++,$dateTime+=60) {</t>
  </si>
  <si>
    <t>if (substr($data, 0, 3) eq "\xe0\xc5\xea") {</t>
  </si>
  <si>
    <t>print STDERR "DATA: $arg\n" if $debug;</t>
  </si>
  <si>
    <t>my ($month, $mday, $year, $hour, $min) = unpack("CCCCC", substr $data, 3, 5);</t>
  </si>
  <si>
    <t>$sample = 1;</t>
  </si>
  <si>
    <t>substr $data, 0, 8, undef;</t>
  </si>
  <si>
    <t>print STDERR "Datafile-date : ".printDate($dateTime)."\n";</t>
  </si>
  <si>
    <t>my ($voltage, $current, $cosphi) = unpack("nnC", substr $data, 0, 5, undef);</t>
  </si>
  <si>
    <t>$voltage /= 10.0; # dV</t>
  </si>
  <si>
    <t>$current /= 1000.0; # mA</t>
  </si>
  <si>
    <t>$cosphi /= 100.0; # %</t>
  </si>
  <si>
    <t>&amp;$funcRow($file, $sample, $dateTime, $voltage, $current, $cosphi);</t>
  </si>
  <si>
    <t>if (substr($data, 0, 4) eq "\xff\xff\xff\xff") {</t>
  </si>
  <si>
    <t>substr $data, 0, 4, undef;</t>
  </si>
  <si>
    <t>while (substr($data, 0, 1) eq "\xff") {</t>
  </si>
  <si>
    <t>substr $data, 0, 1, undef;</t>
  </si>
  <si>
    <t>print STDERR "Debug: skipping FF\n" if $debug;</t>
  </si>
  <si>
    <t>sub XD { return join(" ",map { sprintf "%02x", $_; } unpack("C*", $_[0])); }</t>
  </si>
  <si>
    <t>sub bcd2perl { my $r=0; foreach (@_) { $r*=10; $r+=$_; } return $r; }</t>
  </si>
  <si>
    <t># Print floats using $decimalSeparator</t>
  </si>
  <si>
    <t>sub fsprintf {</t>
  </si>
  <si>
    <t>my ($fmt, $val) = @_;</t>
  </si>
  <si>
    <t>$_ = sprintf($fmt, $val);</t>
  </si>
  <si>
    <t>eval "y/./$decimalSeparator/";</t>
  </si>
  <si>
    <t>return $_;</t>
  </si>
  <si>
    <t># Print row usi$decimalSeparatorng floats</t>
  </si>
  <si>
    <t>sub printFloat {</t>
  </si>
  <si>
    <t>my ($file, $sample, $dateTime, $voltage, $current, $cosphi) = @_;</t>
  </si>
  <si>
    <t>my @columns;</t>
  </si>
  <si>
    <t>if ($outputStart) {</t>
  </si>
  <si>
    <t>push @columns, $file ? '*' : ' ';</t>
  </si>
  <si>
    <t>push @columns, sprintf ("%08d", $sample);</t>
  </si>
  <si>
    <t>push @columns, printDate($dateTime);</t>
  </si>
  <si>
    <t>push @columns, fsprintf("%1.1f", $voltage);</t>
  </si>
  <si>
    <t>push @columns, fsprintf("%1.3f", $current);</t>
  </si>
  <si>
    <t>push @columns, fsprintf("%3.1f", $cosphi);</t>
  </si>
  <si>
    <t>push @columns, fsprintf("%1.1f", $voltage * $current) if $outputVa;</t>
  </si>
  <si>
    <t>push @columns, fsprintf("%1.1f", $voltage * $current * $cosphi) if $outputWatt;</t>
  </si>
  <si>
    <t>my $status = $csv-&gt;combine(@columns);</t>
  </si>
  <si>
    <t>my $line = $csv-&gt;string();</t>
  </si>
  <si>
    <t>print "$line\n";</t>
  </si>
  <si>
    <t># Print row using ints</t>
  </si>
  <si>
    <t>sub printInt {</t>
  </si>
  <si>
    <t>my $va = $voltage * 10.0 * $current * 1000.0;</t>
  </si>
  <si>
    <t>my $watt = $voltage * 10.0 * $current * 1000.0 * $cosphi * 100.0;</t>
  </si>
  <si>
    <t>push @columns, sprintf("%d", $voltage * 10.0);</t>
  </si>
  <si>
    <t>push @columns, sprintf("%d", $current * 1000.0);</t>
  </si>
  <si>
    <t>push @columns, sprintf("%d", $cosphi * 100.0);</t>
  </si>
  <si>
    <t>push @columns, sprintf("%d", $va) if $outputVa;</t>
  </si>
  <si>
    <t>push @columns, sprintf("%d", $watt) if $outputWatt;</t>
  </si>
  <si>
    <t># Print header</t>
  </si>
  <si>
    <t>sub printHeader {</t>
  </si>
  <si>
    <t>push @columns, "Set.Start";</t>
  </si>
  <si>
    <t>push @columns, "samplenr";</t>
  </si>
  <si>
    <t>push @columns, "Date";</t>
  </si>
  <si>
    <t>push @columns, "Voltage";</t>
  </si>
  <si>
    <t>push @columns, "Current";</t>
  </si>
  <si>
    <t>push @columns, "Cos-phi";</t>
  </si>
  <si>
    <t>push @columns, "VA" if $outputVa;</t>
  </si>
  <si>
    <t>push @columns, "Watt" if $outputWatt;</t>
  </si>
  <si>
    <t># Print date in globaly specified format</t>
  </si>
  <si>
    <t>sub printDate {</t>
  </si>
  <si>
    <t>my ($date) = @_;</t>
  </si>
  <si>
    <t>my ($dateSeparator, $dateTimeSeparator, $timeSeparator) = ('-',' ',':');</t>
  </si>
  <si>
    <t>my ($sec,$min,$hour,$mday,$mon,$year,$wday,$yday,$isdst) = gmtime($date);</t>
  </si>
  <si>
    <t>my $tmp;</t>
  </si>
  <si>
    <t>if ($dateformat eq 'ymd') { $tmp = sprintf("%04d%s%02d%s%02d", 1900+$year, $dateSeparator, 1+$mon, $dateSeparator, $mday); }</t>
  </si>
  <si>
    <t>elsif ($dateformat eq 'dmy') { $tmp = sprintf("%02d%s%02d%s%04d", $mday, $dateSeparator, 1+$mon, $dateSeparator, 1900+$year); }</t>
  </si>
  <si>
    <t>else { die "Unknown dateFormat '$dateformat'\n"; }</t>
  </si>
  <si>
    <t>$tmp .= $dateTimeSeparator;</t>
  </si>
  <si>
    <t>$tmp .= sprintf("%02d%s%02d", $hour, $timeSeparator, $min);</t>
  </si>
  <si>
    <t>return $tmp;</t>
  </si>
  <si>
    <t># Print version info</t>
  </si>
  <si>
    <t>sub version {</t>
  </si>
  <si>
    <t>print &lt;&lt;"EOT";</t>
  </si>
  <si>
    <t>EnergyLogger Version: $VERSION</t>
  </si>
  <si>
    <t>(c) 2008, G.Noorlander  &lt;gijs.noorlander at gmail.com&gt;</t>
  </si>
  <si>
    <t>(C) 2009-2010, Philipp Hahn  &lt;pmhahn debian org&gt;</t>
  </si>
  <si>
    <t>Please feel free to contact, with suggestions or questions.</t>
  </si>
  <si>
    <t>This program can decode the .bin log-files created by the Voltcraft</t>
  </si>
  <si>
    <t>EnergyLogger 3500. The decoded data can be further processed with almost</t>
  </si>
  <si>
    <t>any spreadsheet-program. e.g. Excel, Google Documents or Open Office</t>
  </si>
  <si>
    <t>EOT</t>
  </si>
  <si>
    <t>die;</t>
  </si>
  <si>
    <t># Print help info</t>
  </si>
  <si>
    <t>sub help {</t>
  </si>
  <si>
    <t>Usage:</t>
  </si>
  <si>
    <t>EnergyLogger --set [--future=...] [--loggerid=...] [--tar[12]=...]</t>
  </si>
  <si>
    <t>EnergyLogger &lt;options&gt; &lt;file.bin...&gt;</t>
  </si>
  <si>
    <t>Version: $VERSION</t>
  </si>
  <si>
    <t xml:space="preserve">           Voltage is in 1/10th Volt</t>
  </si>
  <si>
    <t xml:space="preserve">           Current is in mA (1/1000th Ampere</t>
  </si>
  <si>
    <t xml:space="preserve">           Powerfactor is in percentage, devide by 100 before use</t>
  </si>
  <si>
    <t xml:space="preserve">           Please note: accuracy of Watt and VA-column will decrease</t>
  </si>
  <si>
    <t>-sc     : Use ";"-character as separator between values</t>
  </si>
  <si>
    <t>-dpc,dpd: Use "," resp. "." as decimal-separator</t>
  </si>
  <si>
    <t>-values : Do not display legenda on 1st outputline</t>
  </si>
  <si>
    <t>-j [n]  : Join sessions which are less than n minutes apart. (default = 5)</t>
  </si>
  <si>
    <t>-set    : Create a setup-file for the EnergyLogger 3500 (systemtime is used)</t>
  </si>
  <si>
    <t>-id  [n]: Set logger-ID. Only used for setup-file</t>
  </si>
  <si>
    <t>-cur [m]: Set currency in setupfile. [m]=euro,pound,dollar,sFr</t>
  </si>
  <si>
    <t>-tar [n]: Set tarif1 &amp; tarif2 to n. Only last 4 digits will be used.</t>
  </si>
  <si>
    <t>-tar1[n]: Set Tarif1 in setupfile. (e.g. 1234 = 1,234)</t>
  </si>
  <si>
    <t>-tar2[n]: Set Tarif2 in setupfile. (e.g.   56 = 0,056)</t>
  </si>
  <si>
    <t>-fut [n]: Set time in setupfile n minutes in the future (default=1)</t>
  </si>
  <si>
    <t>-? -h   : Show this help</t>
  </si>
  <si>
    <t># vim: set ts=2 sw=2 :</t>
  </si>
  <si>
    <t>// Logger2CSV.cpp : Definiert den Einsprungpunkt für die Konsolenanwendung.</t>
  </si>
  <si>
    <t>// @2012 Christian Enders</t>
  </si>
  <si>
    <t>#include "stdafx.h"</t>
  </si>
  <si>
    <t>#include &lt;stdlib.h&gt;</t>
  </si>
  <si>
    <t>#include &lt;time.h&gt;</t>
  </si>
  <si>
    <t>int main(int argc, char* argv[])</t>
  </si>
  <si>
    <t>{</t>
  </si>
  <si>
    <t>FILE *infile, *outfile;</t>
  </si>
  <si>
    <t>unsigned char *buf;</t>
  </si>
  <si>
    <t>unsigned int readlen;</t>
  </si>
  <si>
    <t>unsigned int ret = 10;</t>
  </si>
  <si>
    <t>if(argc == 3)</t>
  </si>
  <si>
    <t>infile = fopen(argv[1],"rb");</t>
  </si>
  <si>
    <t>if(infile)</t>
  </si>
  <si>
    <t>buf = (unsigned char *)malloc(65536);</t>
  </si>
  <si>
    <t>if(buf != 0)</t>
  </si>
  <si>
    <t>readlen = fread(buf,1,65536,infile);</t>
  </si>
  <si>
    <t>if(readlen&gt;0 &amp;&amp; readlen!=102 &amp;&amp; readlen&lt;65536)</t>
  </si>
  <si>
    <t>outfile = fopen(argv[2],"a+t");</t>
  </si>
  <si>
    <t>if(outfile)</t>
  </si>
  <si>
    <t>unsigned int pos=0;</t>
  </si>
  <si>
    <t>float strom, spannung, pf;</t>
  </si>
  <si>
    <t>struct tm startzeit, *zeit;</t>
  </si>
  <si>
    <t>time_t sekunden = 0;</t>
  </si>
  <si>
    <t>while(pos &lt; readlen)</t>
  </si>
  <si>
    <t>if(buf[pos]==0xff &amp;&amp; buf[pos+1]==0xff &amp;&amp; buf[pos+2]==0xff &amp;&amp; buf[pos+3]==0xff)</t>
  </si>
  <si>
    <t>break;</t>
  </si>
  <si>
    <t>if(buf[pos]==0xe0 &amp;&amp; buf[pos+1]==0xc5 &amp;&amp; buf[pos+2]==0xea)</t>
  </si>
  <si>
    <t>// Startcode</t>
  </si>
  <si>
    <t>pos+=3;</t>
  </si>
  <si>
    <t>startzeit.tm_mon = buf[pos++]-1;</t>
  </si>
  <si>
    <t>startzeit.tm_mday = buf[pos++];</t>
  </si>
  <si>
    <t>startzeit.tm_year = 100+buf[pos++];</t>
  </si>
  <si>
    <t>startzeit.tm_hour = buf[pos++];</t>
  </si>
  <si>
    <t>startzeit.tm_min  = buf[pos++];</t>
  </si>
  <si>
    <t>startzeit.tm_sec  = 0;</t>
  </si>
  <si>
    <t>startzeit.tm_isdst = 0;</t>
  </si>
  <si>
    <t>sekunden = mktime(&amp;startzeit);</t>
  </si>
  <si>
    <t>if(sekunden)</t>
  </si>
  <si>
    <t>// Daten, wenn Datum gesetzt</t>
  </si>
  <si>
    <t>spannung = (float)(buf[pos]*256+buf[pos+1])/10;</t>
  </si>
  <si>
    <t>// in 0.1V</t>
  </si>
  <si>
    <t>strom =  (float)(buf[pos+2]*256+buf[pos+3])/1000;</t>
  </si>
  <si>
    <t>// in mA</t>
  </si>
  <si>
    <t>pf = (float)buf[pos+4]/100;</t>
  </si>
  <si>
    <t>// in %</t>
  </si>
  <si>
    <t>pos+=5;</t>
  </si>
  <si>
    <t>zeit = localtime(&amp;sekunden);</t>
  </si>
  <si>
    <t>fprintf(outfile,"%02d.%02d.%d %02d:%02d:00, %d, %.1f, %.3f, %.2f\n",zeit-&gt;tm_mday,zeit-&gt;tm_mon+1,1900+zeit-&gt;tm_year,zeit-&gt;tm_hour,zeit-&gt;tm_min,sekunden,spannung,strom,pf);</t>
  </si>
  <si>
    <t>sekunden += 60;</t>
  </si>
  <si>
    <t>else</t>
  </si>
  <si>
    <t>// sonst auf Startcode warten</t>
  </si>
  <si>
    <t>pos++;</t>
  </si>
  <si>
    <t>ret = 0;</t>
  </si>
  <si>
    <t>fclose(outfile);</t>
  </si>
  <si>
    <t>else printf("Kann Datei nicht öffnen: %s\n", argv[2]);</t>
  </si>
  <si>
    <t>else printf("BIN-Datei zu gross oder zu klein.\n");</t>
  </si>
  <si>
    <t>free(buf);</t>
  </si>
  <si>
    <t>else printf("Speichermangel!\n");</t>
  </si>
  <si>
    <t>fclose(infile);</t>
  </si>
  <si>
    <t>else printf("Kann Datei nicht öffnen: %s\n", argv[1]);</t>
  </si>
  <si>
    <t>printf("%s IN.bin OUT.csv\n",argv[0]);</t>
  </si>
  <si>
    <t>return ret;</t>
  </si>
  <si>
    <t>originaler Algorithmus in Excel</t>
  </si>
  <si>
    <t>Quelldatei</t>
  </si>
  <si>
    <t>A043BD42.BIN</t>
  </si>
  <si>
    <t>A043BD43.BIN</t>
  </si>
  <si>
    <t>A043BD44.BIN</t>
  </si>
  <si>
    <t>A043BD45.BIN</t>
  </si>
  <si>
    <t>A043BD46.BIN</t>
  </si>
  <si>
    <t>?cdec(&amp;H43BD41)</t>
  </si>
  <si>
    <t>?format(now,"#####")</t>
  </si>
  <si>
    <t>?cdate(44393)</t>
  </si>
  <si>
    <t>?cdate(43936)</t>
  </si>
  <si>
    <t>?cdate(39361)</t>
  </si>
  <si>
    <t>A043BD41.BIN</t>
  </si>
  <si>
    <t>A043BD47.BIN</t>
  </si>
  <si>
    <t>A043BD47.BIN ist kein gültiges Loggerfile !</t>
  </si>
  <si>
    <t>Die ersten vier Bytes: 9_31_0_250</t>
  </si>
  <si>
    <t>DatumUhrzeit</t>
  </si>
  <si>
    <t>Einlesedauer</t>
  </si>
  <si>
    <t>Strategie</t>
  </si>
  <si>
    <t>Index innerhalb einer Datei</t>
  </si>
  <si>
    <t>0/0/0</t>
  </si>
  <si>
    <t>// reworked for Visual Studio 2019 by Volker Frank, service@MSO-dlx.com</t>
  </si>
  <si>
    <t>// #pragma warning( disable : 4996 )</t>
  </si>
  <si>
    <t>// #define _CRT_SECURE_NO_WARNINGS</t>
  </si>
  <si>
    <t>//VF:</t>
  </si>
  <si>
    <t xml:space="preserve">// #include "stdafx.h" // #include "stdafx.h" E1696 cannot open source file </t>
  </si>
  <si>
    <t>// https://docs.microsoft.com/en-us/answers/questions/357014/erroe-code-e1696-in-line-include-ltstdafxhgt.html</t>
  </si>
  <si>
    <t>#include &lt;stdio.h&gt;</t>
  </si>
  <si>
    <t>// VF: nicht benötigt using namespace std; // wenn benötigt, dann vor Ort in Funktion verwenden</t>
  </si>
  <si>
    <t>FILE* infile, * outfile;</t>
  </si>
  <si>
    <t>unsigned char* buf;</t>
  </si>
  <si>
    <t>if (argc == 3)</t>
  </si>
  <si>
    <t>infile = fopen(argv[1], "rb");</t>
  </si>
  <si>
    <t>if (infile)</t>
  </si>
  <si>
    <t>buf = (unsigned char*)malloc(65536);</t>
  </si>
  <si>
    <t>if (buf != 0)</t>
  </si>
  <si>
    <t>readlen = fread(buf, 1, 65536, infile);</t>
  </si>
  <si>
    <t>if (readlen &gt; 0 &amp;&amp; readlen != 102 &amp;&amp; readlen &lt; 65536)</t>
  </si>
  <si>
    <t>outfile = fopen(argv[2], "a+t");</t>
  </si>
  <si>
    <t>if (outfile)</t>
  </si>
  <si>
    <t>unsigned int pos = 0;</t>
  </si>
  <si>
    <t>struct tm startzeit, * zeit;</t>
  </si>
  <si>
    <t>while (pos &lt; readlen)</t>
  </si>
  <si>
    <t>if (buf[pos] == 0xff &amp;&amp; buf[pos + 1] == 0xff &amp;&amp; buf[pos + 2] == 0xff &amp;&amp; buf[pos + 3] == 0xff)</t>
  </si>
  <si>
    <t>if (buf[pos] == 0xe0 &amp;&amp; buf[pos + 1] == 0xc5 &amp;&amp; buf[pos + 2] == 0xea)</t>
  </si>
  <si>
    <t>pos += 3;</t>
  </si>
  <si>
    <t>startzeit.tm_mon = buf[pos++] - 1;</t>
  </si>
  <si>
    <t>startzeit.tm_year = 100 + buf[pos++];</t>
  </si>
  <si>
    <t>startzeit.tm_min = buf[pos++];</t>
  </si>
  <si>
    <t>startzeit.tm_sec = 0;</t>
  </si>
  <si>
    <t>if (sekunden)</t>
  </si>
  <si>
    <t>spannung = (float)(buf[pos] * 256 + buf[pos + 1]) / 10;</t>
  </si>
  <si>
    <t>strom = (float)(buf[pos + 2] * 256 + buf[pos + 3]) / 1000;</t>
  </si>
  <si>
    <t>pf = (float)buf[pos + 4] / 100;</t>
  </si>
  <si>
    <t>pos += 5;</t>
  </si>
  <si>
    <t>// fprintf(outfile, "%02d.%02d.%d %02d:%02d:00, %d, %.1f, %.3f, %.2f\n", zeit-&gt;tm_mday, zeit-&gt;tm_mon + 1, 1900 + zeit-&gt;tm_year, zeit-&gt;tm_hour, zeit-&gt;tm_min, sekunden, spannung, strom, pf);</t>
  </si>
  <si>
    <t>// VF: trying raw string to no avail</t>
  </si>
  <si>
    <t>// fprintf(outfile, R"(%02d.%02d.%d %02d:%02d:00, %d, %.1f, %.3f, %.2f)", zeit-&gt;tm_mday, zeit-&gt;tm_mon + 1, 1900 + zeit-&gt;tm_year, zeit-&gt;tm_hour, zeit-&gt;tm_min, sekunden, spannung, strom, pf);</t>
  </si>
  <si>
    <t>//VF: casting time_t to int</t>
  </si>
  <si>
    <t>fprintf(outfile, "Datum Zeit, Spannung, Strom, Phi \n");</t>
  </si>
  <si>
    <t>//VF: why supply seconds (since 1900)?</t>
  </si>
  <si>
    <t>//fprintf(outfile, "%02d.%02d.%d %02d:%02d:00, %d, %.1f, %.3f, %.2f\n", zeit-&gt;tm_mday, zeit-&gt;tm_mon + 1, 1900 + zeit-&gt;tm_year, zeit-&gt;tm_hour, zeit-&gt;tm_min, static_cast&lt;int&gt;(sekunden), spannung, strom, pf);</t>
  </si>
  <si>
    <t>// (seconds since 1900 dropped)</t>
  </si>
  <si>
    <t>fprintf(outfile, "%02d.%02d.%d %02d:%02d:00, %.1f, %.3f, %.2f\n", zeit-&gt;tm_mday, zeit-&gt;tm_mon + 1, 1900 + zeit-&gt;tm_year, zeit-&gt;tm_hour, zeit-&gt;tm_min, spannung, strom, pf);</t>
  </si>
  <si>
    <t>reads out single files only</t>
  </si>
  <si>
    <t>returns csv with DateTime Voltage Current PowerFactor</t>
  </si>
  <si>
    <t>syntax to call</t>
  </si>
  <si>
    <t>EnergyLogger2CSV.exe .bin-file-of-10k newDataFile.csv</t>
  </si>
  <si>
    <t>// column header row (seconds since 1900 dropped)</t>
  </si>
  <si>
    <t>https://community.conrad.com/discussion/2678/energy-logger-4000-und-3500-software-unter-windows-10-nicht-lauffaehig</t>
  </si>
  <si>
    <t>https://www.robvanderwoude.com/hardware_energylogger.php</t>
  </si>
  <si>
    <t>http://wiki.td-er.nl/index.php?title=Energy_Logger_3500</t>
  </si>
  <si>
    <t>File format</t>
  </si>
  <si>
    <r>
      <t xml:space="preserve">The meter reads from and writes to several files on the flashcard. So far there are only 3 types of files for the Energy Logger 3500. There is a 102-Bytes info-file, a number of files with the meassured data (max 10564 Bytes per file) and it is possible to configure the device with a 20-Bytes file called </t>
    </r>
    <r>
      <rPr>
        <i/>
        <sz val="10"/>
        <rFont val="Arial"/>
        <family val="2"/>
      </rPr>
      <t>SETUPEL3.BIN</t>
    </r>
    <r>
      <rPr>
        <sz val="10"/>
        <rFont val="Arial"/>
        <family val="2"/>
      </rPr>
      <t>.</t>
    </r>
  </si>
  <si>
    <r>
      <t xml:space="preserve">The </t>
    </r>
    <r>
      <rPr>
        <i/>
        <sz val="10"/>
        <rFont val="Arial"/>
        <family val="2"/>
      </rPr>
      <t>.bin</t>
    </r>
    <r>
      <rPr>
        <sz val="10"/>
        <rFont val="Arial"/>
        <family val="2"/>
      </rPr>
      <t>-files have each the following structure:</t>
    </r>
  </si>
  <si>
    <t>Info-file</t>
  </si>
  <si>
    <t>Exactly 102 bytes in size</t>
  </si>
  <si>
    <t>Filename consists of &lt;loggerID&gt;&lt;#sec since start of year&gt;.bin</t>
  </si>
  <si>
    <t>LoggerID = [a..j], a=0, b=1, ...</t>
  </si>
  <si>
    <t>First 5 Bytes are: "INFO:" (hex-values: 49 4E 46 4F 3A)</t>
  </si>
  <si>
    <t>The file contains various information stored in the logger at the moment of dump:</t>
  </si>
  <si>
    <t>Total power consumption(kwh).</t>
  </si>
  <si>
    <t>Total recorded time(Hour).</t>
  </si>
  <si>
    <t>Total ON time(hour).</t>
  </si>
  <si>
    <t>10 day history of consumed power.</t>
  </si>
  <si>
    <t>10 day history of record time.</t>
  </si>
  <si>
    <t>10 day history of ON time.</t>
  </si>
  <si>
    <t>ID number of unit.</t>
  </si>
  <si>
    <t>Value of tariff 1 &amp; 2</t>
  </si>
  <si>
    <t>Time &amp; Date of initial setting.</t>
  </si>
  <si>
    <t>Reverse-engineered fileformat</t>
  </si>
  <si>
    <t>red (0x05-0x07) and (0x0E-0x10): total power consumption, big endian, in watt-hour (devide by 1000 for kWh). The program Conrad supplied only shows the double amount (0,188 kWh instead of 0,094 kWh).</t>
  </si>
  <si>
    <t>blue (0x54): logger ID (0..9) First letter of the filename is also an indication of the logger-ID (A-J)</t>
  </si>
  <si>
    <t>green (0x5D): A date. It looks like it is the start of the meassurement.</t>
  </si>
  <si>
    <t>Hex: 12 39 01 1D 08</t>
  </si>
  <si>
    <r>
      <t xml:space="preserve">Dec: 18 39 1 29 08 In the right notation: 29-01-2008 18:39, Is just before the first measured sample. </t>
    </r>
    <r>
      <rPr>
        <b/>
        <sz val="10"/>
        <rFont val="Arial"/>
        <family val="2"/>
      </rPr>
      <t>N.B. Date-notation is different from the datafile.</t>
    </r>
  </si>
  <si>
    <r>
      <t>bold</t>
    </r>
    <r>
      <rPr>
        <sz val="10"/>
        <rFont val="Arial"/>
        <family val="2"/>
      </rPr>
      <t xml:space="preserve"> (0x55-0x58): The set kWh-price of "Cost1" (€ 1,234 in this example)</t>
    </r>
  </si>
  <si>
    <t>underlined (0x59-0x5C): The set kWh-price of "Cost2" (€ 5,678 in this example)</t>
  </si>
  <si>
    <t>More info about the format (in dutch)</t>
  </si>
  <si>
    <t>FileFormat according to Conrad</t>
  </si>
  <si>
    <t>In february 2009, Conrad silently uploaded the documentation about the information stored in the files.</t>
  </si>
  <si>
    <t>Data-file</t>
  </si>
  <si>
    <t>Filesize is max 10564 Bytes.</t>
  </si>
  <si>
    <t>Maximum is 2110 samples per file (max numbers of samples seen in 1 file is 2105), which is about 35 hours of data.</t>
  </si>
  <si>
    <t>First 3 Bytes are: hex-values E0 C5 EA.</t>
  </si>
  <si>
    <t>In the file there is at least one time the following sequence:</t>
  </si>
  <si>
    <t>1. 3 bytes initstring (E0 C5 EA)</t>
  </si>
  <si>
    <t>2. Date-/time-stamp</t>
  </si>
  <si>
    <t>3. 1 or more samples</t>
  </si>
  <si>
    <t>4. 0-3 Bytes from a partly written sample</t>
  </si>
  <si>
    <t>5. 0 or more times hex-valuess FF FF FF FF</t>
  </si>
  <si>
    <t>File ends with at least FF FF FF FF and if there is a following file, the rest of the file is filled with FF's until the filesize is 10564 Bytes.</t>
  </si>
  <si>
    <t>So the grammar is:</t>
  </si>
  <si>
    <t>((Init timestamp (sample)+)+ FFF(F)+)+EOF</t>
  </si>
  <si>
    <t>With:</t>
  </si>
  <si>
    <t>Init = E0 C5 EA</t>
  </si>
  <si>
    <t>timestamp = 5 Bytes</t>
  </si>
  <si>
    <t>Sample = 5 Bytes</t>
  </si>
  <si>
    <r>
      <t xml:space="preserve">()+ = my notation of occurring </t>
    </r>
    <r>
      <rPr>
        <i/>
        <sz val="10"/>
        <rFont val="Arial"/>
        <family val="2"/>
      </rPr>
      <t>at least</t>
    </r>
    <r>
      <rPr>
        <sz val="10"/>
        <rFont val="Arial"/>
        <family val="2"/>
      </rPr>
      <t xml:space="preserve"> 1 time, what is between ()</t>
    </r>
  </si>
  <si>
    <t>F = hexvalue FF, decimal value 255</t>
  </si>
  <si>
    <t>EOF = end of file</t>
  </si>
  <si>
    <t>Timestamp is as follows:</t>
  </si>
  <si>
    <t>Month = byte(0)</t>
  </si>
  <si>
    <t>Day = byte(1)</t>
  </si>
  <si>
    <t>Year = 2000 + byte(2)</t>
  </si>
  <si>
    <t>Hour = byte(3)</t>
  </si>
  <si>
    <t>Minute = byte(4)</t>
  </si>
  <si>
    <t>Sample is as follows:</t>
  </si>
  <si>
    <t>Voltage (in tenths of volt) = byte(0) *256 + byte(1)</t>
  </si>
  <si>
    <t>Current (in mA) = byte(2) *256 + byte(3)</t>
  </si>
  <si>
    <t>PowerFactor (in procent) = byte(4)</t>
  </si>
  <si>
    <t>Example hexdump:</t>
  </si>
  <si>
    <t>00000000  e0 c5 ea 01 1d 08 12 3b  08 b2 00 43 41 08 b6 00  |.......;...CA...|</t>
  </si>
  <si>
    <t>00000010  43 41 08 ac 00 43 41 08  af 00 44 41 08 b2 00 43  |CA...CA...DA...C|</t>
  </si>
  <si>
    <t>00000020  41 08 ab 00 43 41 08 b7  00 44 41 08 b2 00 44 41  |A...CA...DA...DA|</t>
  </si>
  <si>
    <t>00000030  08 b4 00 44 41 08 b1 00  44 41 08 b0 00 43 41 08  |...DA...DA...CA.|</t>
  </si>
  <si>
    <t>00000040  ae 00 44 41 08 b4 00 43  41 08 b2 00 44 41 08 b1  |..DA...CA...DA..|</t>
  </si>
  <si>
    <t>00000050  00 44 41 08 b2 00 44 41  08 ba 00 43 41 08 b8 00  |.DA...DA...CA...|</t>
  </si>
  <si>
    <t>00000060  44 41 08 b9 00 44 41 08  b9 00 44 41 FF FF FF FF  |DA...DA...DA....|</t>
  </si>
  <si>
    <t>Settings-file</t>
  </si>
  <si>
    <t>Exactly 20 bytes in size</t>
  </si>
  <si>
    <t>Filename is "setupel3.bin"</t>
  </si>
  <si>
    <t>Byte 0..2 = b8 ad f2 (hexvalue)</t>
  </si>
  <si>
    <t>Byte 3 = loggerID</t>
  </si>
  <si>
    <t>Byte 4 = timeformaat (1=12h, 2=24h)</t>
  </si>
  <si>
    <t>Byte 5 = date-notation (1=mm/dd/yy of 2=dd/mm/yy)</t>
  </si>
  <si>
    <t>Byte 6 = Time in hours</t>
  </si>
  <si>
    <t>Byte 7 = Time in minutes</t>
  </si>
  <si>
    <t>Byte 8 = month</t>
  </si>
  <si>
    <t>Byte 9 = day</t>
  </si>
  <si>
    <t>Byte 10= year (with an offset of 2000)</t>
  </si>
  <si>
    <t>Byte 11= currency (1=Pound, 2=SwishFranc, 4=$, 8=€)</t>
  </si>
  <si>
    <t>Byte 12-15= decimals of tarif1 (max value is 9,999)</t>
  </si>
  <si>
    <t>Byte 16-19= decimals of tarif2 (max value is 9,999)</t>
  </si>
  <si>
    <t>Example hexdump of a SETUPEL3.bin-file:</t>
  </si>
  <si>
    <t>00000000  b8 ad f2 00 02 01 0b 32  02 1c 08 08 01 00 00 00  |.......2........|</t>
  </si>
  <si>
    <t>00000010  02 00 00 00                                       |....|</t>
  </si>
  <si>
    <t>Electrical construction</t>
  </si>
  <si>
    <t>The heart of the Energy Logger 3500 is the ps1000 made by Archmeter.</t>
  </si>
  <si>
    <t>https://www.robvanderwoude.com/csharpexamples.php#EnergyLoggerConfig</t>
  </si>
  <si>
    <t>https://github.com/cvermot/QEnergyLoggerDecoder</t>
  </si>
  <si>
    <t>https://www.meisterkuehler.de/thema/conrad-energy-logger-3500-empfohlenes-messgeraet-fuer-stromsparer/</t>
  </si>
  <si>
    <t>http://www.mb200d.nl/wordpress/2011/12/energylogger4000/</t>
  </si>
  <si>
    <t>http://www.mb200d.nl/wordpress/2014/07/energy-logger-4000-version2/</t>
  </si>
  <si>
    <t>http://cel4000.codeplex.com/</t>
  </si>
  <si>
    <t>http://gathering.tweakers.net/forum/list_messages/1253295/8</t>
  </si>
  <si>
    <t>http://www.mb200d.nl/wordpress/2014/07/energy-logger-4000-version2/#</t>
  </si>
  <si>
    <t xml:space="preserve">	13 juli 2014</t>
  </si>
  <si>
    <t>.NET Framework 4.0</t>
  </si>
  <si>
    <t xml:space="preserve">	14 december 2011</t>
  </si>
  <si>
    <t>https://www.winsite.com/voltcraft/voltcraft+energy+logger+viewer/</t>
  </si>
  <si>
    <t>https://sourceforge.net/projects/energylogger/</t>
  </si>
  <si>
    <t>2009-11-01      2013-04-18</t>
  </si>
  <si>
    <t>https://sourceforge.net/projects/energylogxlsc/</t>
  </si>
  <si>
    <t xml:space="preserve"> 2015-08-03 </t>
  </si>
  <si>
    <t>no download on server retry</t>
  </si>
  <si>
    <t>https://github.com/MSO-dlx/EnergyLogger2CSV</t>
  </si>
  <si>
    <t>Quelle/source: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</si>
</sst>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[$-F400]h:mm:ss\ AM/PM"/>
    <numFmt numFmtId="165" formatCode="#,##0.00\ &quot;€&quot;"/>
  </numFmts>
  <fonts count="15" x14ac:knownFonts="1">
    <font>
      <sz val="10"/>
      <name val="Arial"/>
    </font>
    <font>
      <sz val="8"/>
      <name val="Arial"/>
      <family val="2"/>
    </font>
    <font>
      <sz val="10"/>
      <name val="Arial"/>
      <family val="2"/>
    </font>
    <font>
      <sz val="10"/>
      <color rgb="FF000000"/>
      <name val="Arial"/>
      <family val="2"/>
    </font>
    <font>
      <b/>
      <sz val="10"/>
      <name val="Arial"/>
      <family val="2"/>
    </font>
    <font>
      <u/>
      <sz val="10"/>
      <color theme="10"/>
      <name val="Arial"/>
      <family val="2"/>
    </font>
    <font>
      <b/>
      <sz val="24"/>
      <name val="Arial"/>
      <family val="2"/>
    </font>
    <font>
      <i/>
      <sz val="10"/>
      <name val="Arial"/>
      <family val="2"/>
    </font>
    <font>
      <b/>
      <sz val="18"/>
      <name val="Arial"/>
      <family val="2"/>
    </font>
    <font>
      <b/>
      <sz val="13.5"/>
      <name val="Arial"/>
      <family val="2"/>
    </font>
    <font>
      <u/>
      <sz val="10"/>
      <name val="Arial"/>
      <family val="2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b/>
      <sz val="12"/>
      <name val="Arial"/>
      <family val="2"/>
    </font>
    <font>
      <sz val="10"/>
      <name val="Arial Unicode MS"/>
      <family val="2"/>
    </font>
  </fonts>
  <fills count="3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</fills>
  <borders count="11">
    <border>
      <left/>
      <right/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</borders>
  <cellStyleXfs count="2">
    <xf numFmtId="0" fontId="0" fillId="0" borderId="0"/>
    <xf numFmtId="0" fontId="5" fillId="0" borderId="0" applyNumberFormat="0" applyFill="0" applyBorder="0" applyAlignment="0" applyProtection="0"/>
  </cellStyleXfs>
  <cellXfs count="44">
    <xf numFmtId="0" fontId="0" fillId="0" borderId="0" xfId="0"/>
    <xf numFmtId="0" fontId="2" fillId="0" borderId="0" xfId="0" applyFont="1"/>
    <xf numFmtId="0" fontId="2" fillId="0" borderId="0" xfId="0" applyFont="1" applyAlignment="1">
      <alignment wrapText="1"/>
    </xf>
    <xf numFmtId="0" fontId="2" fillId="2" borderId="0" xfId="0" applyFont="1" applyFill="1"/>
    <xf numFmtId="0" fontId="2" fillId="2" borderId="0" xfId="0" applyFont="1" applyFill="1" applyAlignment="1">
      <alignment wrapText="1"/>
    </xf>
    <xf numFmtId="0" fontId="0" fillId="2" borderId="0" xfId="0" applyFill="1"/>
    <xf numFmtId="14" fontId="0" fillId="2" borderId="0" xfId="0" applyNumberFormat="1" applyFill="1"/>
    <xf numFmtId="164" fontId="0" fillId="2" borderId="0" xfId="0" applyNumberFormat="1" applyFill="1"/>
    <xf numFmtId="0" fontId="2" fillId="0" borderId="1" xfId="0" applyFont="1" applyBorder="1" applyAlignment="1">
      <alignment wrapText="1"/>
    </xf>
    <xf numFmtId="0" fontId="2" fillId="0" borderId="2" xfId="0" applyFont="1" applyBorder="1" applyAlignment="1">
      <alignment wrapText="1"/>
    </xf>
    <xf numFmtId="0" fontId="2" fillId="0" borderId="1" xfId="0" applyFont="1" applyBorder="1"/>
    <xf numFmtId="0" fontId="2" fillId="0" borderId="3" xfId="0" applyFont="1" applyBorder="1"/>
    <xf numFmtId="0" fontId="2" fillId="0" borderId="3" xfId="0" applyFont="1" applyBorder="1" applyAlignment="1">
      <alignment wrapText="1"/>
    </xf>
    <xf numFmtId="0" fontId="2" fillId="0" borderId="4" xfId="0" applyFont="1" applyBorder="1" applyAlignment="1">
      <alignment wrapText="1"/>
    </xf>
    <xf numFmtId="0" fontId="0" fillId="0" borderId="5" xfId="0" applyBorder="1"/>
    <xf numFmtId="0" fontId="0" fillId="0" borderId="6" xfId="0" applyBorder="1"/>
    <xf numFmtId="0" fontId="0" fillId="0" borderId="7" xfId="0" applyBorder="1"/>
    <xf numFmtId="0" fontId="2" fillId="0" borderId="8" xfId="0" applyFont="1" applyBorder="1"/>
    <xf numFmtId="0" fontId="2" fillId="0" borderId="9" xfId="0" applyFont="1" applyBorder="1"/>
    <xf numFmtId="165" fontId="0" fillId="0" borderId="6" xfId="0" applyNumberFormat="1" applyBorder="1"/>
    <xf numFmtId="164" fontId="0" fillId="0" borderId="6" xfId="0" applyNumberFormat="1" applyBorder="1"/>
    <xf numFmtId="14" fontId="0" fillId="0" borderId="6" xfId="0" applyNumberFormat="1" applyBorder="1"/>
    <xf numFmtId="0" fontId="4" fillId="0" borderId="0" xfId="0" applyFont="1"/>
    <xf numFmtId="0" fontId="5" fillId="0" borderId="0" xfId="1"/>
    <xf numFmtId="0" fontId="6" fillId="0" borderId="0" xfId="0" applyFont="1" applyAlignment="1">
      <alignment vertical="center"/>
    </xf>
    <xf numFmtId="0" fontId="8" fillId="0" borderId="0" xfId="0" applyFont="1" applyAlignment="1">
      <alignment vertical="center"/>
    </xf>
    <xf numFmtId="0" fontId="9" fillId="0" borderId="0" xfId="0" applyFont="1" applyAlignment="1">
      <alignment vertical="center"/>
    </xf>
    <xf numFmtId="0" fontId="4" fillId="0" borderId="10" xfId="0" applyFont="1" applyBorder="1" applyAlignment="1">
      <alignment horizontal="center" vertical="center" wrapText="1"/>
    </xf>
    <xf numFmtId="0" fontId="2" fillId="0" borderId="10" xfId="0" applyFont="1" applyBorder="1" applyAlignment="1">
      <alignment vertical="center" wrapText="1"/>
    </xf>
    <xf numFmtId="0" fontId="2" fillId="0" borderId="0" xfId="0" applyFont="1" applyFill="1" applyBorder="1" applyAlignment="1">
      <alignment vertical="center" wrapText="1"/>
    </xf>
    <xf numFmtId="14" fontId="0" fillId="0" borderId="0" xfId="0" applyNumberFormat="1"/>
    <xf numFmtId="22" fontId="0" fillId="0" borderId="0" xfId="0" applyNumberFormat="1"/>
    <xf numFmtId="0" fontId="7" fillId="0" borderId="0" xfId="0" applyFont="1"/>
    <xf numFmtId="0" fontId="10" fillId="0" borderId="0" xfId="0" applyFont="1"/>
    <xf numFmtId="0" fontId="7" fillId="0" borderId="0" xfId="0" applyFont="1" applyAlignment="1">
      <alignment horizontal="center"/>
    </xf>
    <xf numFmtId="0" fontId="13" fillId="0" borderId="0" xfId="0" applyFont="1" applyAlignment="1">
      <alignment vertical="center"/>
    </xf>
    <xf numFmtId="0" fontId="0" fillId="0" borderId="0" xfId="0" applyAlignment="1">
      <alignment horizontal="left" vertical="center" indent="1"/>
    </xf>
    <xf numFmtId="0" fontId="2" fillId="0" borderId="0" xfId="0" applyFont="1" applyAlignment="1">
      <alignment horizontal="left" vertical="center" indent="1"/>
    </xf>
    <xf numFmtId="0" fontId="2" fillId="0" borderId="0" xfId="0" applyFont="1" applyAlignment="1">
      <alignment horizontal="left" vertical="center" indent="2"/>
    </xf>
    <xf numFmtId="0" fontId="4" fillId="0" borderId="0" xfId="0" applyFont="1" applyAlignment="1">
      <alignment vertical="center"/>
    </xf>
    <xf numFmtId="0" fontId="4" fillId="0" borderId="0" xfId="0" applyFont="1" applyAlignment="1">
      <alignment horizontal="left" vertical="center" indent="1"/>
    </xf>
    <xf numFmtId="0" fontId="14" fillId="0" borderId="0" xfId="0" applyFont="1" applyAlignment="1">
      <alignment vertical="center"/>
    </xf>
    <xf numFmtId="0" fontId="2" fillId="0" borderId="0" xfId="0" applyFont="1" applyAlignment="1">
      <alignment wrapText="1"/>
    </xf>
    <xf numFmtId="0" fontId="0" fillId="0" borderId="0" xfId="0" applyAlignment="1">
      <alignment wrapText="1"/>
    </xf>
  </cellXfs>
  <cellStyles count="2">
    <cellStyle name="Hyperlink" xfId="1" builtinId="8"/>
    <cellStyle name="Normal" xfId="0" builtinId="0"/>
  </cellStyles>
  <dxfs count="0"/>
  <tableStyles count="0" defaultTableStyle="TableStyleMedium9" defaultPivotStyle="PivotStyleLight16"/>
  <colors>
    <mruColors>
      <color rgb="FFFFFF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vbaProject.bin.rels><?xml version="1.0" encoding="UTF-8" standalone="yes"?>
<Relationships xmlns="http://schemas.openxmlformats.org/package/2006/relationships"><Relationship Id="rId3" Type="http://schemas.microsoft.com/office/2020/07/relationships/vbaProjectSignatureV3" Target="vbaProjectSignatureV3.bin"/><Relationship Id="rId2" Type="http://schemas.microsoft.com/office/2014/relationships/vbaProjectSignatureAgile" Target="vbaProjectSignatureAgile.bin"/><Relationship Id="rId1" Type="http://schemas.microsoft.com/office/2006/relationships/vbaProjectSignature" Target="vbaProjectSignature.bin"/></Relationships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hyperlink" Target="http://wiki.td-er.nl/index.php?title=File:EL3500_INFO-file-format.png" TargetMode="Externa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png"/><Relationship Id="rId2" Type="http://schemas.openxmlformats.org/officeDocument/2006/relationships/image" Target="../media/image3.png"/><Relationship Id="rId1" Type="http://schemas.openxmlformats.org/officeDocument/2006/relationships/image" Target="../media/image2.png"/><Relationship Id="rId4" Type="http://schemas.openxmlformats.org/officeDocument/2006/relationships/image" Target="../media/image5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771525</xdr:colOff>
          <xdr:row>1</xdr:row>
          <xdr:rowOff>76200</xdr:rowOff>
        </xdr:from>
        <xdr:to>
          <xdr:col>11</xdr:col>
          <xdr:colOff>419100</xdr:colOff>
          <xdr:row>3</xdr:row>
          <xdr:rowOff>95250</xdr:rowOff>
        </xdr:to>
        <xdr:sp macro="" textlink="">
          <xdr:nvSpPr>
            <xdr:cNvPr id="1025" name="ReadData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Datenordner einlesen</a:t>
              </a:r>
            </a:p>
            <a:p>
              <a:pPr algn="ctr" rtl="0">
                <a:defRPr sz="1000"/>
              </a:pPr>
              <a:r>
                <a:rPr lang="en-GB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und aufbereiten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180975</xdr:colOff>
          <xdr:row>1</xdr:row>
          <xdr:rowOff>85725</xdr:rowOff>
        </xdr:from>
        <xdr:to>
          <xdr:col>13</xdr:col>
          <xdr:colOff>704850</xdr:colOff>
          <xdr:row>3</xdr:row>
          <xdr:rowOff>104775</xdr:rowOff>
        </xdr:to>
        <xdr:sp macro="" textlink="">
          <xdr:nvSpPr>
            <xdr:cNvPr id="1026" name="ClearSheetData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Daten aus Tabelle löschen</a:t>
              </a:r>
            </a:p>
          </xdr:txBody>
        </xdr:sp>
        <xdr:clientData fPrintsWithSheet="0"/>
      </xdr:twoCellAnchor>
    </mc:Choice>
    <mc:Fallback/>
  </mc:AlternateContent>
  <xdr:twoCellAnchor>
    <xdr:from>
      <xdr:col>0</xdr:col>
      <xdr:colOff>0</xdr:colOff>
      <xdr:row>5</xdr:row>
      <xdr:rowOff>9526</xdr:rowOff>
    </xdr:from>
    <xdr:to>
      <xdr:col>0</xdr:col>
      <xdr:colOff>1695450</xdr:colOff>
      <xdr:row>13</xdr:row>
      <xdr:rowOff>152400</xdr:rowOff>
    </xdr:to>
    <xdr:sp macro="" textlink="">
      <xdr:nvSpPr>
        <xdr:cNvPr id="2" name="PasswordNote123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0" y="714376"/>
          <a:ext cx="1695450" cy="1438274"/>
        </a:xfrm>
        <a:prstGeom prst="rect">
          <a:avLst/>
        </a:prstGeom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lIns="36000" tIns="36000" rIns="36000" bIns="36000" rtlCol="0" anchor="ctr" anchorCtr="0"/>
        <a:lstStyle/>
        <a:p>
          <a:pPr algn="l"/>
          <a:r>
            <a:rPr lang="en-GB" sz="1400" b="1"/>
            <a:t>this master worksheet is protected with a password  to prevent</a:t>
          </a:r>
          <a:r>
            <a:rPr lang="en-GB" sz="1400" b="1" baseline="0"/>
            <a:t> accidental overwrites</a:t>
          </a:r>
          <a:endParaRPr lang="en-GB" sz="1400" b="1"/>
        </a:p>
      </xdr:txBody>
    </xdr:sp>
    <xdr:clientData/>
  </xdr:twoCellAnchor>
  <xdr:twoCellAnchor>
    <xdr:from>
      <xdr:col>8</xdr:col>
      <xdr:colOff>310286</xdr:colOff>
      <xdr:row>3</xdr:row>
      <xdr:rowOff>109308</xdr:rowOff>
    </xdr:from>
    <xdr:to>
      <xdr:col>9</xdr:col>
      <xdr:colOff>786536</xdr:colOff>
      <xdr:row>7</xdr:row>
      <xdr:rowOff>116895</xdr:rowOff>
    </xdr:to>
    <xdr:sp macro="" textlink="">
      <xdr:nvSpPr>
        <xdr:cNvPr id="3" name="KlickHier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 rot="20255061">
          <a:off x="9540011" y="480783"/>
          <a:ext cx="1714500" cy="664812"/>
        </a:xfrm>
        <a:prstGeom prst="rightArrow">
          <a:avLst>
            <a:gd name="adj1" fmla="val 69149"/>
            <a:gd name="adj2" fmla="val 50000"/>
          </a:avLst>
        </a:prstGeom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 anchorCtr="1"/>
        <a:lstStyle/>
        <a:p>
          <a:pPr algn="l"/>
          <a:r>
            <a:rPr lang="en-GB" sz="1400"/>
            <a:t>Hier klicken ;-) 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0</xdr:colOff>
      <xdr:row>50</xdr:row>
      <xdr:rowOff>0</xdr:rowOff>
    </xdr:from>
    <xdr:to>
      <xdr:col>12</xdr:col>
      <xdr:colOff>514350</xdr:colOff>
      <xdr:row>58</xdr:row>
      <xdr:rowOff>47625</xdr:rowOff>
    </xdr:to>
    <xdr:pic>
      <xdr:nvPicPr>
        <xdr:cNvPr id="2" name="Picture 1" descr="Hexdump of the 102-byte info-file">
          <a:hlinkClick xmlns:r="http://schemas.openxmlformats.org/officeDocument/2006/relationships" r:id="rId1" tooltip="Hexdump of the 102-byte info-file"/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5762625"/>
          <a:ext cx="5572125" cy="13430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352424</xdr:colOff>
      <xdr:row>6</xdr:row>
      <xdr:rowOff>152400</xdr:rowOff>
    </xdr:from>
    <xdr:to>
      <xdr:col>12</xdr:col>
      <xdr:colOff>163047</xdr:colOff>
      <xdr:row>26</xdr:row>
      <xdr:rowOff>124273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/>
        <a:srcRect l="26624"/>
        <a:stretch/>
      </xdr:blipFill>
      <xdr:spPr>
        <a:xfrm>
          <a:off x="1571624" y="1123950"/>
          <a:ext cx="5906623" cy="3210373"/>
        </a:xfrm>
        <a:prstGeom prst="rect">
          <a:avLst/>
        </a:prstGeom>
      </xdr:spPr>
    </xdr:pic>
    <xdr:clientData/>
  </xdr:twoCellAnchor>
  <xdr:twoCellAnchor editAs="oneCell">
    <xdr:from>
      <xdr:col>1</xdr:col>
      <xdr:colOff>0</xdr:colOff>
      <xdr:row>34</xdr:row>
      <xdr:rowOff>19050</xdr:rowOff>
    </xdr:from>
    <xdr:to>
      <xdr:col>11</xdr:col>
      <xdr:colOff>851</xdr:colOff>
      <xdr:row>44</xdr:row>
      <xdr:rowOff>124066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609600" y="9086850"/>
          <a:ext cx="6096851" cy="1724266"/>
        </a:xfrm>
        <a:prstGeom prst="rect">
          <a:avLst/>
        </a:prstGeom>
      </xdr:spPr>
    </xdr:pic>
    <xdr:clientData/>
  </xdr:twoCellAnchor>
  <xdr:twoCellAnchor editAs="oneCell">
    <xdr:from>
      <xdr:col>12</xdr:col>
      <xdr:colOff>0</xdr:colOff>
      <xdr:row>33</xdr:row>
      <xdr:rowOff>0</xdr:rowOff>
    </xdr:from>
    <xdr:to>
      <xdr:col>18</xdr:col>
      <xdr:colOff>553038</xdr:colOff>
      <xdr:row>49</xdr:row>
      <xdr:rowOff>28941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00000000-0008-0000-04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7315200" y="8905875"/>
          <a:ext cx="4210638" cy="2619741"/>
        </a:xfrm>
        <a:prstGeom prst="rect">
          <a:avLst/>
        </a:prstGeom>
      </xdr:spPr>
    </xdr:pic>
    <xdr:clientData/>
  </xdr:twoCellAnchor>
  <xdr:twoCellAnchor editAs="oneCell">
    <xdr:from>
      <xdr:col>20</xdr:col>
      <xdr:colOff>0</xdr:colOff>
      <xdr:row>33</xdr:row>
      <xdr:rowOff>0</xdr:rowOff>
    </xdr:from>
    <xdr:to>
      <xdr:col>26</xdr:col>
      <xdr:colOff>562564</xdr:colOff>
      <xdr:row>52</xdr:row>
      <xdr:rowOff>86166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04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12192000" y="8905875"/>
          <a:ext cx="4220164" cy="3162741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7" Type="http://schemas.openxmlformats.org/officeDocument/2006/relationships/comments" Target="../comments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github.com/MSO-dlx/EnergyLogger2CSV" TargetMode="External"/><Relationship Id="rId6" Type="http://schemas.openxmlformats.org/officeDocument/2006/relationships/ctrlProp" Target="../ctrlProps/ctrlProp2.xml"/><Relationship Id="rId5" Type="http://schemas.openxmlformats.org/officeDocument/2006/relationships/ctrlProp" Target="../ctrlProps/ctrlProp1.xml"/><Relationship Id="rId4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hyperlink" Target="https://www.meisterkuehler.de/thema/conrad-energy-logger-3500-empfohlenes-messgeraet-fuer-stromsparer/" TargetMode="External"/><Relationship Id="rId13" Type="http://schemas.openxmlformats.org/officeDocument/2006/relationships/hyperlink" Target="http://gathering.tweakers.net/forum/list_messages/1253295/8" TargetMode="External"/><Relationship Id="rId18" Type="http://schemas.openxmlformats.org/officeDocument/2006/relationships/hyperlink" Target="https://sourceforge.net/projects/energylogxlsc/" TargetMode="External"/><Relationship Id="rId3" Type="http://schemas.openxmlformats.org/officeDocument/2006/relationships/hyperlink" Target="http://wiki.td-er.nl/index.php?title=Energy_Logger_3500" TargetMode="External"/><Relationship Id="rId7" Type="http://schemas.openxmlformats.org/officeDocument/2006/relationships/hyperlink" Target="https://github.com/cvermot/QEnergyLoggerDecoder" TargetMode="External"/><Relationship Id="rId12" Type="http://schemas.openxmlformats.org/officeDocument/2006/relationships/hyperlink" Target="http://wiki.td-er.nl/index.php?title=Energy_Logger_3500" TargetMode="External"/><Relationship Id="rId17" Type="http://schemas.openxmlformats.org/officeDocument/2006/relationships/hyperlink" Target="https://sourceforge.net/projects/energylogger/" TargetMode="External"/><Relationship Id="rId2" Type="http://schemas.openxmlformats.org/officeDocument/2006/relationships/hyperlink" Target="https://www.robvanderwoude.com/hardware_energylogger.php" TargetMode="External"/><Relationship Id="rId16" Type="http://schemas.openxmlformats.org/officeDocument/2006/relationships/hyperlink" Target="https://www.winsite.com/voltcraft/voltcraft+energy+logger+viewer/" TargetMode="External"/><Relationship Id="rId1" Type="http://schemas.openxmlformats.org/officeDocument/2006/relationships/hyperlink" Target="https://community.conrad.com/discussion/2678/energy-logger-4000-und-3500-software-unter-windows-10-nicht-lauffaehig" TargetMode="External"/><Relationship Id="rId6" Type="http://schemas.openxmlformats.org/officeDocument/2006/relationships/hyperlink" Target="https://www.robvanderwoude.com/csharpexamples.php" TargetMode="External"/><Relationship Id="rId11" Type="http://schemas.openxmlformats.org/officeDocument/2006/relationships/hyperlink" Target="http://cel4000.codeplex.com/" TargetMode="External"/><Relationship Id="rId5" Type="http://schemas.openxmlformats.org/officeDocument/2006/relationships/hyperlink" Target="http://www2.produktinfo.conrad.com/datenblaetter/125000-149999/125323-da-01-en-Datenprotokoll_SD_card_file_Formatv1_2.pdf" TargetMode="External"/><Relationship Id="rId15" Type="http://schemas.openxmlformats.org/officeDocument/2006/relationships/hyperlink" Target="http://www.mb200d.nl/wordpress/2014/07/energy-logger-4000-version2/" TargetMode="External"/><Relationship Id="rId10" Type="http://schemas.openxmlformats.org/officeDocument/2006/relationships/hyperlink" Target="http://www.mb200d.nl/wordpress/2014/07/energy-logger-4000-version2/" TargetMode="External"/><Relationship Id="rId19" Type="http://schemas.openxmlformats.org/officeDocument/2006/relationships/drawing" Target="../drawings/drawing2.xml"/><Relationship Id="rId4" Type="http://schemas.openxmlformats.org/officeDocument/2006/relationships/hyperlink" Target="http://gathering.tweakers.net/forum/list_message/29546640" TargetMode="External"/><Relationship Id="rId9" Type="http://schemas.openxmlformats.org/officeDocument/2006/relationships/hyperlink" Target="http://www.mb200d.nl/wordpress/2011/12/energylogger4000/" TargetMode="External"/><Relationship Id="rId14" Type="http://schemas.openxmlformats.org/officeDocument/2006/relationships/hyperlink" Target="http://www.mb200d.nl/wordpress/2014/07/energy-logger-4000-version2/" TargetMode="Externa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hyperlink" Target="https://pmhahn.de/linux/energyLogger/EnergyLogger.pl" TargetMode="External"/><Relationship Id="rId1" Type="http://schemas.openxmlformats.org/officeDocument/2006/relationships/hyperlink" Target="https://pmhahn.de/linux/energyLogger/index.html" TargetMode="Externa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Tabelle1"/>
  <dimension ref="A1:N20"/>
  <sheetViews>
    <sheetView tabSelected="1" zoomScaleNormal="100" workbookViewId="0">
      <pane xSplit="1" ySplit="19" topLeftCell="B20" activePane="bottomRight" state="frozen"/>
      <selection activeCell="C6" sqref="C6"/>
      <selection pane="topRight" activeCell="C6" sqref="C6"/>
      <selection pane="bottomLeft" activeCell="C6" sqref="C6"/>
      <selection pane="bottomRight" activeCell="J3" sqref="J3"/>
    </sheetView>
  </sheetViews>
  <sheetFormatPr defaultColWidth="9.140625" defaultRowHeight="12.75" x14ac:dyDescent="0.2"/>
  <cols>
    <col min="1" max="1" width="25.7109375" customWidth="1"/>
    <col min="2" max="2" width="19.85546875" customWidth="1"/>
    <col min="3" max="3" width="10.140625" bestFit="1" customWidth="1"/>
    <col min="4" max="4" width="14.5703125" bestFit="1" customWidth="1"/>
    <col min="5" max="5" width="11.5703125" customWidth="1"/>
    <col min="6" max="6" width="18.42578125" customWidth="1"/>
    <col min="7" max="7" width="17.7109375" customWidth="1"/>
    <col min="8" max="8" width="20.42578125" customWidth="1"/>
    <col min="9" max="9" width="18.5703125" customWidth="1"/>
    <col min="10" max="10" width="14.42578125" customWidth="1"/>
    <col min="11" max="11" width="16.7109375" customWidth="1"/>
    <col min="12" max="12" width="16.140625" customWidth="1"/>
    <col min="13" max="255" width="11.42578125" customWidth="1"/>
  </cols>
  <sheetData>
    <row r="1" spans="1:14" ht="3.95" customHeight="1" x14ac:dyDescent="0.2"/>
    <row r="2" spans="1:14" x14ac:dyDescent="0.2">
      <c r="A2" s="33" t="s">
        <v>406</v>
      </c>
      <c r="B2" t="s">
        <v>565</v>
      </c>
      <c r="C2" s="23" t="s">
        <v>564</v>
      </c>
    </row>
    <row r="3" spans="1:14" x14ac:dyDescent="0.2">
      <c r="A3" s="32"/>
    </row>
    <row r="4" spans="1:14" x14ac:dyDescent="0.2">
      <c r="A4" s="33" t="s">
        <v>405</v>
      </c>
    </row>
    <row r="5" spans="1:14" ht="13.5" thickBot="1" x14ac:dyDescent="0.25">
      <c r="A5" s="34"/>
      <c r="B5" s="16"/>
      <c r="C5" s="18"/>
      <c r="D5" s="11" t="s">
        <v>7</v>
      </c>
      <c r="E5" s="12" t="s">
        <v>25</v>
      </c>
      <c r="F5" s="12" t="s">
        <v>8</v>
      </c>
      <c r="G5" s="12" t="s">
        <v>9</v>
      </c>
      <c r="H5" s="12" t="s">
        <v>10</v>
      </c>
      <c r="I5" s="12" t="s">
        <v>11</v>
      </c>
      <c r="J5" s="12" t="s">
        <v>12</v>
      </c>
      <c r="K5" s="12" t="s">
        <v>13</v>
      </c>
      <c r="L5" s="12" t="s">
        <v>14</v>
      </c>
      <c r="M5" s="12" t="s">
        <v>15</v>
      </c>
      <c r="N5" s="13" t="s">
        <v>16</v>
      </c>
    </row>
    <row r="6" spans="1:14" x14ac:dyDescent="0.2">
      <c r="B6" s="10" t="s">
        <v>0</v>
      </c>
      <c r="C6" s="17" t="s">
        <v>92</v>
      </c>
      <c r="D6" s="3"/>
      <c r="E6" s="4"/>
      <c r="F6" s="4"/>
      <c r="G6" s="4"/>
      <c r="H6" s="4"/>
      <c r="I6" s="4"/>
      <c r="J6" s="4"/>
      <c r="K6" s="4"/>
      <c r="L6" s="4"/>
      <c r="M6" s="4"/>
      <c r="N6" s="4"/>
    </row>
    <row r="7" spans="1:14" x14ac:dyDescent="0.2">
      <c r="B7" s="8" t="s">
        <v>20</v>
      </c>
      <c r="C7" s="5"/>
      <c r="D7" s="14">
        <v>0</v>
      </c>
      <c r="E7" s="14">
        <v>0</v>
      </c>
      <c r="F7" s="14">
        <v>0</v>
      </c>
      <c r="G7" s="14">
        <v>0</v>
      </c>
      <c r="H7" s="14">
        <v>0</v>
      </c>
      <c r="I7" s="14">
        <v>0</v>
      </c>
      <c r="J7" s="14">
        <v>0</v>
      </c>
      <c r="K7" s="14">
        <v>0</v>
      </c>
      <c r="L7" s="14">
        <v>0</v>
      </c>
      <c r="M7" s="14">
        <v>0</v>
      </c>
      <c r="N7" s="14">
        <v>0</v>
      </c>
    </row>
    <row r="8" spans="1:14" x14ac:dyDescent="0.2">
      <c r="B8" s="8" t="s">
        <v>21</v>
      </c>
      <c r="C8" s="5"/>
      <c r="D8" s="14">
        <v>0</v>
      </c>
      <c r="E8" s="14">
        <v>0</v>
      </c>
      <c r="F8" s="14">
        <v>0</v>
      </c>
      <c r="G8" s="14">
        <v>0</v>
      </c>
      <c r="H8" s="14">
        <v>0</v>
      </c>
      <c r="I8" s="14">
        <v>0</v>
      </c>
      <c r="J8" s="14">
        <v>0</v>
      </c>
      <c r="K8" s="14">
        <v>0</v>
      </c>
      <c r="L8" s="14">
        <v>0</v>
      </c>
      <c r="M8" s="14">
        <v>0</v>
      </c>
      <c r="N8" s="14">
        <v>0</v>
      </c>
    </row>
    <row r="9" spans="1:14" x14ac:dyDescent="0.2">
      <c r="B9" s="8" t="s">
        <v>22</v>
      </c>
      <c r="C9" s="5"/>
      <c r="D9" s="14">
        <v>0</v>
      </c>
      <c r="E9" s="14">
        <v>0</v>
      </c>
      <c r="F9" s="14">
        <v>0</v>
      </c>
      <c r="G9" s="14">
        <v>0</v>
      </c>
      <c r="H9" s="14">
        <v>0</v>
      </c>
      <c r="I9" s="14">
        <v>0</v>
      </c>
      <c r="J9" s="14">
        <v>0</v>
      </c>
      <c r="K9" s="14">
        <v>0</v>
      </c>
      <c r="L9" s="14">
        <v>0</v>
      </c>
      <c r="M9" s="14">
        <v>0</v>
      </c>
      <c r="N9" s="14">
        <v>0</v>
      </c>
    </row>
    <row r="10" spans="1:14" x14ac:dyDescent="0.2">
      <c r="B10" s="8" t="s">
        <v>17</v>
      </c>
      <c r="C10" s="15">
        <v>0</v>
      </c>
      <c r="D10" s="5"/>
      <c r="E10" s="5"/>
      <c r="F10" s="5"/>
      <c r="G10" s="5"/>
      <c r="H10" s="5"/>
      <c r="I10" s="5"/>
      <c r="J10" s="5"/>
      <c r="K10" s="5"/>
      <c r="L10" s="5"/>
      <c r="M10" s="5"/>
      <c r="N10" s="5"/>
    </row>
    <row r="11" spans="1:14" x14ac:dyDescent="0.2">
      <c r="B11" s="8" t="s">
        <v>18</v>
      </c>
      <c r="C11" s="19">
        <v>0</v>
      </c>
      <c r="D11" s="5"/>
      <c r="E11" s="5"/>
      <c r="F11" s="5"/>
      <c r="G11" s="5"/>
      <c r="H11" s="5"/>
      <c r="I11" s="5"/>
      <c r="J11" s="5"/>
      <c r="K11" s="5"/>
      <c r="L11" s="5"/>
      <c r="M11" s="5"/>
      <c r="N11" s="5"/>
    </row>
    <row r="12" spans="1:14" x14ac:dyDescent="0.2">
      <c r="B12" s="8" t="s">
        <v>19</v>
      </c>
      <c r="C12" s="19">
        <v>0</v>
      </c>
      <c r="D12" s="5"/>
      <c r="E12" s="5"/>
      <c r="F12" s="5"/>
      <c r="G12" s="5"/>
      <c r="H12" s="5"/>
      <c r="I12" s="5"/>
      <c r="J12" s="5"/>
      <c r="K12" s="5"/>
      <c r="L12" s="5"/>
      <c r="M12" s="5"/>
      <c r="N12" s="5"/>
    </row>
    <row r="13" spans="1:14" x14ac:dyDescent="0.2">
      <c r="B13" s="8" t="s">
        <v>23</v>
      </c>
      <c r="C13" s="20">
        <v>0</v>
      </c>
      <c r="D13" s="7"/>
      <c r="E13" s="5"/>
      <c r="F13" s="5"/>
      <c r="G13" s="5"/>
      <c r="H13" s="5"/>
      <c r="I13" s="5"/>
      <c r="J13" s="5"/>
      <c r="K13" s="5"/>
      <c r="L13" s="5"/>
      <c r="M13" s="5"/>
      <c r="N13" s="5"/>
    </row>
    <row r="14" spans="1:14" x14ac:dyDescent="0.2">
      <c r="B14" s="9" t="s">
        <v>24</v>
      </c>
      <c r="C14" s="21" t="s">
        <v>408</v>
      </c>
      <c r="D14" s="6"/>
      <c r="E14" s="5"/>
      <c r="F14" s="5"/>
      <c r="G14" s="5"/>
      <c r="H14" s="5"/>
      <c r="I14" s="5"/>
      <c r="J14" s="5"/>
      <c r="K14" s="5"/>
      <c r="L14" s="5"/>
      <c r="M14" s="5"/>
      <c r="N14" s="5"/>
    </row>
    <row r="15" spans="1:14" ht="3.95" customHeight="1" x14ac:dyDescent="0.2"/>
    <row r="16" spans="1:14" ht="3.95" customHeight="1" x14ac:dyDescent="0.2"/>
    <row r="19" spans="1:12" x14ac:dyDescent="0.2">
      <c r="A19" s="1" t="s">
        <v>407</v>
      </c>
      <c r="B19" s="1" t="s">
        <v>1</v>
      </c>
      <c r="C19" s="1" t="s">
        <v>2</v>
      </c>
      <c r="D19" s="1" t="s">
        <v>3</v>
      </c>
      <c r="E19" s="1" t="s">
        <v>4</v>
      </c>
      <c r="F19" s="1" t="s">
        <v>5</v>
      </c>
      <c r="G19" s="1" t="s">
        <v>28</v>
      </c>
      <c r="H19" s="1" t="s">
        <v>26</v>
      </c>
      <c r="I19" s="1" t="s">
        <v>27</v>
      </c>
      <c r="J19" s="1" t="s">
        <v>6</v>
      </c>
      <c r="K19" s="1" t="s">
        <v>389</v>
      </c>
      <c r="L19" s="1" t="s">
        <v>404</v>
      </c>
    </row>
    <row r="20" spans="1:12" x14ac:dyDescent="0.2">
      <c r="B20" s="1"/>
      <c r="L20" s="31"/>
    </row>
  </sheetData>
  <sheetProtection algorithmName="SHA-512" hashValue="8SRhXN3z1ZVN6p+4HmfF2xbr99O+bh8RJcf6A1F4lDYc6l7e27j2wYs+IyhAOQT8lAwb18lUYWcyyiRmgUYjQw==" saltValue="ZgHwyIuklF5LF9v0P0pHtA==" spinCount="100000" sheet="1" objects="1"/>
  <autoFilter ref="A19:L19" xr:uid="{00000000-0009-0000-0000-000000000000}"/>
  <dataConsolidate/>
  <phoneticPr fontId="1" type="noConversion"/>
  <hyperlinks>
    <hyperlink ref="C2" r:id="rId1" xr:uid="{985F61EA-1A31-4E88-B878-AD8C9C1A8D50}"/>
  </hyperlinks>
  <pageMargins left="0.78740157499999996" right="0.78740157499999996" top="0.984251969" bottom="0.984251969" header="0.4921259845" footer="0.4921259845"/>
  <pageSetup paperSize="9" orientation="landscape" r:id="rId2"/>
  <headerFooter alignWithMargins="0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5" name="ReadData">
              <controlPr defaultSize="0" print="0" autoFill="0" autoPict="0" macro="[0]!DatenEinlesen">
                <anchor moveWithCells="1">
                  <from>
                    <xdr:col>9</xdr:col>
                    <xdr:colOff>771525</xdr:colOff>
                    <xdr:row>1</xdr:row>
                    <xdr:rowOff>76200</xdr:rowOff>
                  </from>
                  <to>
                    <xdr:col>11</xdr:col>
                    <xdr:colOff>419100</xdr:colOff>
                    <xdr:row>3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6" name="ClearSheetData">
              <controlPr defaultSize="0" print="0" autoFill="0" autoPict="0" macro="[0]!DatenTabelleLoeschen">
                <anchor moveWithCells="1">
                  <from>
                    <xdr:col>12</xdr:col>
                    <xdr:colOff>180975</xdr:colOff>
                    <xdr:row>1</xdr:row>
                    <xdr:rowOff>85725</xdr:rowOff>
                  </from>
                  <to>
                    <xdr:col>13</xdr:col>
                    <xdr:colOff>704850</xdr:colOff>
                    <xdr:row>3</xdr:row>
                    <xdr:rowOff>104775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Tabelle2"/>
  <dimension ref="A2:O11"/>
  <sheetViews>
    <sheetView zoomScaleNormal="100" workbookViewId="0">
      <selection activeCell="B3" sqref="B3:M11"/>
    </sheetView>
  </sheetViews>
  <sheetFormatPr defaultColWidth="9.140625" defaultRowHeight="12.75" x14ac:dyDescent="0.2"/>
  <cols>
    <col min="1" max="1" width="19" bestFit="1" customWidth="1"/>
    <col min="2" max="2" width="10.140625" bestFit="1" customWidth="1"/>
    <col min="3" max="13" width="10.7109375" customWidth="1"/>
    <col min="14" max="256" width="11.42578125" customWidth="1"/>
  </cols>
  <sheetData>
    <row r="2" spans="1:15" ht="13.5" thickBot="1" x14ac:dyDescent="0.25">
      <c r="A2" s="16"/>
      <c r="B2" s="18"/>
      <c r="C2" s="11" t="s">
        <v>7</v>
      </c>
      <c r="D2" s="12" t="s">
        <v>25</v>
      </c>
      <c r="E2" s="12" t="s">
        <v>8</v>
      </c>
      <c r="F2" s="12" t="s">
        <v>9</v>
      </c>
      <c r="G2" s="12" t="s">
        <v>10</v>
      </c>
      <c r="H2" s="12" t="s">
        <v>11</v>
      </c>
      <c r="I2" s="12" t="s">
        <v>12</v>
      </c>
      <c r="J2" s="12" t="s">
        <v>13</v>
      </c>
      <c r="K2" s="12" t="s">
        <v>14</v>
      </c>
      <c r="L2" s="12" t="s">
        <v>15</v>
      </c>
      <c r="M2" s="13" t="s">
        <v>16</v>
      </c>
      <c r="N2" s="2"/>
    </row>
    <row r="3" spans="1:15" x14ac:dyDescent="0.2">
      <c r="A3" s="10" t="s">
        <v>0</v>
      </c>
      <c r="B3" s="17" t="s">
        <v>92</v>
      </c>
      <c r="C3" s="3"/>
      <c r="D3" s="4"/>
      <c r="E3" s="4"/>
      <c r="F3" s="4"/>
      <c r="G3" s="4"/>
      <c r="H3" s="4"/>
      <c r="I3" s="4"/>
      <c r="J3" s="4"/>
      <c r="K3" s="4"/>
      <c r="L3" s="4"/>
      <c r="M3" s="4"/>
      <c r="N3" s="2"/>
    </row>
    <row r="4" spans="1:15" x14ac:dyDescent="0.2">
      <c r="A4" s="8" t="s">
        <v>20</v>
      </c>
      <c r="B4" s="5"/>
      <c r="C4" s="14">
        <v>0.16900000000000001</v>
      </c>
      <c r="D4" s="14">
        <v>0.16900000000000001</v>
      </c>
      <c r="E4" s="14">
        <v>0</v>
      </c>
      <c r="F4" s="14">
        <v>0</v>
      </c>
      <c r="G4" s="14">
        <v>0</v>
      </c>
      <c r="H4" s="14">
        <v>0</v>
      </c>
      <c r="I4" s="14">
        <v>0</v>
      </c>
      <c r="J4" s="14">
        <v>0</v>
      </c>
      <c r="K4" s="14">
        <v>0</v>
      </c>
      <c r="L4" s="14">
        <v>0</v>
      </c>
      <c r="M4" s="14">
        <v>0</v>
      </c>
      <c r="O4">
        <f>SUM(D4:M4)</f>
        <v>0.16900000000000001</v>
      </c>
    </row>
    <row r="5" spans="1:15" ht="25.5" x14ac:dyDescent="0.2">
      <c r="A5" s="8" t="s">
        <v>21</v>
      </c>
      <c r="B5" s="5"/>
      <c r="C5" s="14">
        <v>-217.58</v>
      </c>
      <c r="D5" s="14">
        <v>7.3</v>
      </c>
      <c r="E5" s="14">
        <v>0</v>
      </c>
      <c r="F5" s="14">
        <v>0</v>
      </c>
      <c r="G5" s="14">
        <v>0</v>
      </c>
      <c r="H5" s="14">
        <v>0</v>
      </c>
      <c r="I5" s="14">
        <v>0</v>
      </c>
      <c r="J5" s="14">
        <v>0</v>
      </c>
      <c r="K5" s="14">
        <v>0</v>
      </c>
      <c r="L5" s="14">
        <v>0</v>
      </c>
      <c r="M5" s="14">
        <v>0</v>
      </c>
      <c r="O5">
        <f>SUM(D5:M5)</f>
        <v>7.3</v>
      </c>
    </row>
    <row r="6" spans="1:15" x14ac:dyDescent="0.2">
      <c r="A6" s="8" t="s">
        <v>22</v>
      </c>
      <c r="B6" s="5"/>
      <c r="C6" s="14">
        <v>-217.58</v>
      </c>
      <c r="D6" s="14">
        <v>7.3</v>
      </c>
      <c r="E6" s="14">
        <v>0</v>
      </c>
      <c r="F6" s="14">
        <v>0</v>
      </c>
      <c r="G6" s="14">
        <v>0</v>
      </c>
      <c r="H6" s="14">
        <v>0</v>
      </c>
      <c r="I6" s="14">
        <v>0</v>
      </c>
      <c r="J6" s="14">
        <v>0</v>
      </c>
      <c r="K6" s="14">
        <v>0</v>
      </c>
      <c r="L6" s="14">
        <v>0</v>
      </c>
      <c r="M6" s="14">
        <v>0</v>
      </c>
      <c r="O6">
        <f>SUM(D6:M6)</f>
        <v>7.3</v>
      </c>
    </row>
    <row r="7" spans="1:15" x14ac:dyDescent="0.2">
      <c r="A7" s="8" t="s">
        <v>17</v>
      </c>
      <c r="B7" s="15">
        <v>0</v>
      </c>
      <c r="C7" s="5"/>
      <c r="D7" s="5"/>
      <c r="E7" s="5"/>
      <c r="F7" s="5"/>
      <c r="G7" s="5"/>
      <c r="H7" s="5"/>
      <c r="I7" s="5"/>
      <c r="J7" s="5"/>
      <c r="K7" s="5"/>
      <c r="L7" s="5"/>
      <c r="M7" s="5"/>
    </row>
    <row r="8" spans="1:15" x14ac:dyDescent="0.2">
      <c r="A8" s="8" t="s">
        <v>18</v>
      </c>
      <c r="B8" s="19">
        <v>1.0000000000000001E-5</v>
      </c>
      <c r="C8" s="5"/>
      <c r="D8" s="5"/>
      <c r="E8" s="5"/>
      <c r="F8" s="5"/>
      <c r="G8" s="5"/>
      <c r="H8" s="5"/>
      <c r="I8" s="5"/>
      <c r="J8" s="5"/>
      <c r="K8" s="5"/>
      <c r="L8" s="5"/>
      <c r="M8" s="5"/>
    </row>
    <row r="9" spans="1:15" x14ac:dyDescent="0.2">
      <c r="A9" s="8" t="s">
        <v>19</v>
      </c>
      <c r="B9" s="19">
        <v>1.0000000000000001E-5</v>
      </c>
      <c r="C9" s="5"/>
      <c r="D9" s="5"/>
      <c r="E9" s="5"/>
      <c r="F9" s="5"/>
      <c r="G9" s="5"/>
      <c r="H9" s="5"/>
      <c r="I9" s="5"/>
      <c r="J9" s="5"/>
      <c r="K9" s="5"/>
      <c r="L9" s="5"/>
      <c r="M9" s="5"/>
    </row>
    <row r="10" spans="1:15" x14ac:dyDescent="0.2">
      <c r="A10" s="8" t="s">
        <v>23</v>
      </c>
      <c r="B10" s="20">
        <v>0.46666666666666662</v>
      </c>
      <c r="C10" s="7"/>
      <c r="D10" s="5"/>
      <c r="E10" s="5"/>
      <c r="F10" s="5"/>
      <c r="G10" s="5"/>
      <c r="H10" s="5"/>
      <c r="I10" s="5"/>
      <c r="J10" s="5"/>
      <c r="K10" s="5"/>
      <c r="L10" s="5"/>
      <c r="M10" s="5"/>
    </row>
    <row r="11" spans="1:15" x14ac:dyDescent="0.2">
      <c r="A11" s="9" t="s">
        <v>24</v>
      </c>
      <c r="B11" s="21">
        <v>44533</v>
      </c>
      <c r="C11" s="6"/>
      <c r="D11" s="5"/>
      <c r="E11" s="5"/>
      <c r="F11" s="5"/>
      <c r="G11" s="5"/>
      <c r="H11" s="5"/>
      <c r="I11" s="5"/>
      <c r="J11" s="5"/>
      <c r="K11" s="5"/>
      <c r="L11" s="5"/>
      <c r="M11" s="5"/>
    </row>
  </sheetData>
  <phoneticPr fontId="1" type="noConversion"/>
  <pageMargins left="0.78740157499999996" right="0.78740157499999996" top="0.984251969" bottom="0.984251969" header="0.4921259845" footer="0.4921259845"/>
  <pageSetup paperSize="9" scale="76" orientation="landscape" r:id="rId1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E14EEA3-B40C-4790-81EB-9C74CACE228D}">
  <sheetPr codeName="Sheet7"/>
  <dimension ref="C5:M150"/>
  <sheetViews>
    <sheetView workbookViewId="0">
      <selection activeCell="M20" sqref="M20"/>
    </sheetView>
  </sheetViews>
  <sheetFormatPr defaultRowHeight="12.75" x14ac:dyDescent="0.2"/>
  <cols>
    <col min="12" max="12" width="11.85546875" bestFit="1" customWidth="1"/>
  </cols>
  <sheetData>
    <row r="5" spans="3:13" x14ac:dyDescent="0.2">
      <c r="C5" s="23" t="s">
        <v>457</v>
      </c>
    </row>
    <row r="6" spans="3:13" x14ac:dyDescent="0.2">
      <c r="C6" s="23" t="s">
        <v>548</v>
      </c>
    </row>
    <row r="7" spans="3:13" x14ac:dyDescent="0.2">
      <c r="C7" s="23" t="s">
        <v>549</v>
      </c>
    </row>
    <row r="8" spans="3:13" x14ac:dyDescent="0.2">
      <c r="C8" s="23" t="s">
        <v>550</v>
      </c>
    </row>
    <row r="9" spans="3:13" x14ac:dyDescent="0.2">
      <c r="C9" s="23"/>
      <c r="D9" s="23" t="s">
        <v>551</v>
      </c>
    </row>
    <row r="10" spans="3:13" x14ac:dyDescent="0.2">
      <c r="C10" s="23"/>
      <c r="D10" s="23"/>
      <c r="E10" s="23" t="s">
        <v>554</v>
      </c>
      <c r="L10" s="1" t="s">
        <v>555</v>
      </c>
      <c r="M10" s="1" t="s">
        <v>556</v>
      </c>
    </row>
    <row r="11" spans="3:13" x14ac:dyDescent="0.2">
      <c r="C11" s="23"/>
      <c r="D11" s="23"/>
      <c r="E11" s="23" t="s">
        <v>554</v>
      </c>
    </row>
    <row r="12" spans="3:13" x14ac:dyDescent="0.2">
      <c r="C12" s="23"/>
      <c r="D12" s="23" t="s">
        <v>552</v>
      </c>
    </row>
    <row r="13" spans="3:13" x14ac:dyDescent="0.2">
      <c r="C13" s="23"/>
      <c r="D13" s="23" t="s">
        <v>459</v>
      </c>
    </row>
    <row r="14" spans="3:13" x14ac:dyDescent="0.2">
      <c r="C14" s="23"/>
      <c r="D14" s="23" t="s">
        <v>553</v>
      </c>
    </row>
    <row r="15" spans="3:13" x14ac:dyDescent="0.2">
      <c r="C15" s="23"/>
      <c r="L15" s="1" t="s">
        <v>557</v>
      </c>
    </row>
    <row r="16" spans="3:13" x14ac:dyDescent="0.2">
      <c r="C16" s="23"/>
      <c r="L16" s="1"/>
    </row>
    <row r="17" spans="3:13" x14ac:dyDescent="0.2">
      <c r="C17" s="23" t="s">
        <v>558</v>
      </c>
      <c r="L17" s="1"/>
    </row>
    <row r="18" spans="3:13" x14ac:dyDescent="0.2">
      <c r="C18" s="23"/>
      <c r="D18" s="23" t="s">
        <v>559</v>
      </c>
      <c r="L18" s="1" t="s">
        <v>560</v>
      </c>
    </row>
    <row r="19" spans="3:13" x14ac:dyDescent="0.2">
      <c r="C19" s="23"/>
      <c r="D19" s="23" t="s">
        <v>561</v>
      </c>
      <c r="L19" s="1" t="s">
        <v>562</v>
      </c>
      <c r="M19" s="22" t="s">
        <v>563</v>
      </c>
    </row>
    <row r="20" spans="3:13" x14ac:dyDescent="0.2">
      <c r="C20" s="23"/>
    </row>
    <row r="21" spans="3:13" x14ac:dyDescent="0.2">
      <c r="C21" s="23" t="s">
        <v>458</v>
      </c>
    </row>
    <row r="22" spans="3:13" x14ac:dyDescent="0.2">
      <c r="D22" s="23" t="s">
        <v>459</v>
      </c>
    </row>
    <row r="23" spans="3:13" ht="17.25" x14ac:dyDescent="0.2">
      <c r="E23" s="26" t="s">
        <v>460</v>
      </c>
    </row>
    <row r="25" spans="3:13" x14ac:dyDescent="0.2">
      <c r="E25" s="1" t="s">
        <v>461</v>
      </c>
    </row>
    <row r="27" spans="3:13" x14ac:dyDescent="0.2">
      <c r="E27" s="1" t="s">
        <v>462</v>
      </c>
    </row>
    <row r="29" spans="3:13" ht="15.75" x14ac:dyDescent="0.2">
      <c r="E29" s="35" t="s">
        <v>463</v>
      </c>
    </row>
    <row r="30" spans="3:13" x14ac:dyDescent="0.2">
      <c r="E30" s="36"/>
    </row>
    <row r="31" spans="3:13" x14ac:dyDescent="0.2">
      <c r="E31" s="37" t="s">
        <v>464</v>
      </c>
    </row>
    <row r="32" spans="3:13" x14ac:dyDescent="0.2">
      <c r="E32" s="37" t="s">
        <v>465</v>
      </c>
    </row>
    <row r="33" spans="5:5" x14ac:dyDescent="0.2">
      <c r="E33" s="38" t="s">
        <v>466</v>
      </c>
    </row>
    <row r="34" spans="5:5" x14ac:dyDescent="0.2">
      <c r="E34" s="37" t="s">
        <v>467</v>
      </c>
    </row>
    <row r="36" spans="5:5" x14ac:dyDescent="0.2">
      <c r="E36" s="1" t="s">
        <v>468</v>
      </c>
    </row>
    <row r="37" spans="5:5" x14ac:dyDescent="0.2">
      <c r="E37" s="36"/>
    </row>
    <row r="38" spans="5:5" x14ac:dyDescent="0.2">
      <c r="E38" s="37" t="s">
        <v>469</v>
      </c>
    </row>
    <row r="39" spans="5:5" x14ac:dyDescent="0.2">
      <c r="E39" s="37" t="s">
        <v>470</v>
      </c>
    </row>
    <row r="40" spans="5:5" x14ac:dyDescent="0.2">
      <c r="E40" s="37" t="s">
        <v>471</v>
      </c>
    </row>
    <row r="41" spans="5:5" x14ac:dyDescent="0.2">
      <c r="E41" s="37" t="s">
        <v>472</v>
      </c>
    </row>
    <row r="42" spans="5:5" x14ac:dyDescent="0.2">
      <c r="E42" s="37" t="s">
        <v>473</v>
      </c>
    </row>
    <row r="43" spans="5:5" x14ac:dyDescent="0.2">
      <c r="E43" s="37" t="s">
        <v>474</v>
      </c>
    </row>
    <row r="44" spans="5:5" x14ac:dyDescent="0.2">
      <c r="E44" s="37" t="s">
        <v>475</v>
      </c>
    </row>
    <row r="45" spans="5:5" x14ac:dyDescent="0.2">
      <c r="E45" s="37" t="s">
        <v>476</v>
      </c>
    </row>
    <row r="46" spans="5:5" x14ac:dyDescent="0.2">
      <c r="E46" s="37" t="s">
        <v>477</v>
      </c>
    </row>
    <row r="49" spans="5:5" x14ac:dyDescent="0.2">
      <c r="E49" s="39" t="s">
        <v>478</v>
      </c>
    </row>
    <row r="58" spans="5:5" x14ac:dyDescent="0.2">
      <c r="E58" s="36"/>
    </row>
    <row r="59" spans="5:5" x14ac:dyDescent="0.2">
      <c r="E59" s="36"/>
    </row>
    <row r="60" spans="5:5" x14ac:dyDescent="0.2">
      <c r="E60" s="37" t="s">
        <v>479</v>
      </c>
    </row>
    <row r="61" spans="5:5" x14ac:dyDescent="0.2">
      <c r="E61" s="37" t="s">
        <v>480</v>
      </c>
    </row>
    <row r="62" spans="5:5" x14ac:dyDescent="0.2">
      <c r="E62" s="37" t="s">
        <v>481</v>
      </c>
    </row>
    <row r="63" spans="5:5" x14ac:dyDescent="0.2">
      <c r="E63" s="38" t="s">
        <v>482</v>
      </c>
    </row>
    <row r="64" spans="5:5" x14ac:dyDescent="0.2">
      <c r="E64" s="38" t="s">
        <v>483</v>
      </c>
    </row>
    <row r="65" spans="5:5" x14ac:dyDescent="0.2">
      <c r="E65" s="40" t="s">
        <v>484</v>
      </c>
    </row>
    <row r="66" spans="5:5" x14ac:dyDescent="0.2">
      <c r="E66" s="37" t="s">
        <v>485</v>
      </c>
    </row>
    <row r="68" spans="5:5" x14ac:dyDescent="0.2">
      <c r="E68" s="23" t="s">
        <v>486</v>
      </c>
    </row>
    <row r="70" spans="5:5" x14ac:dyDescent="0.2">
      <c r="E70" s="39" t="s">
        <v>487</v>
      </c>
    </row>
    <row r="72" spans="5:5" x14ac:dyDescent="0.2">
      <c r="E72" s="23" t="s">
        <v>488</v>
      </c>
    </row>
    <row r="74" spans="5:5" ht="15.75" x14ac:dyDescent="0.2">
      <c r="E74" s="35" t="s">
        <v>489</v>
      </c>
    </row>
    <row r="75" spans="5:5" x14ac:dyDescent="0.2">
      <c r="E75" s="36"/>
    </row>
    <row r="76" spans="5:5" x14ac:dyDescent="0.2">
      <c r="E76" s="37" t="s">
        <v>490</v>
      </c>
    </row>
    <row r="77" spans="5:5" x14ac:dyDescent="0.2">
      <c r="E77" s="38" t="s">
        <v>491</v>
      </c>
    </row>
    <row r="78" spans="5:5" x14ac:dyDescent="0.2">
      <c r="E78" s="37" t="s">
        <v>492</v>
      </c>
    </row>
    <row r="79" spans="5:5" x14ac:dyDescent="0.2">
      <c r="E79" s="37" t="s">
        <v>493</v>
      </c>
    </row>
    <row r="80" spans="5:5" x14ac:dyDescent="0.2">
      <c r="E80" s="38" t="s">
        <v>494</v>
      </c>
    </row>
    <row r="81" spans="5:5" x14ac:dyDescent="0.2">
      <c r="E81" s="38" t="s">
        <v>495</v>
      </c>
    </row>
    <row r="82" spans="5:5" x14ac:dyDescent="0.2">
      <c r="E82" s="38" t="s">
        <v>496</v>
      </c>
    </row>
    <row r="83" spans="5:5" x14ac:dyDescent="0.2">
      <c r="E83" s="38" t="s">
        <v>497</v>
      </c>
    </row>
    <row r="84" spans="5:5" x14ac:dyDescent="0.2">
      <c r="E84" s="38" t="s">
        <v>498</v>
      </c>
    </row>
    <row r="85" spans="5:5" x14ac:dyDescent="0.2">
      <c r="E85" s="37" t="s">
        <v>499</v>
      </c>
    </row>
    <row r="87" spans="5:5" x14ac:dyDescent="0.2">
      <c r="E87" s="1" t="s">
        <v>500</v>
      </c>
    </row>
    <row r="89" spans="5:5" ht="15" x14ac:dyDescent="0.2">
      <c r="E89" s="41" t="s">
        <v>501</v>
      </c>
    </row>
    <row r="91" spans="5:5" x14ac:dyDescent="0.2">
      <c r="E91" s="1" t="s">
        <v>502</v>
      </c>
    </row>
    <row r="92" spans="5:5" x14ac:dyDescent="0.2">
      <c r="E92" s="36"/>
    </row>
    <row r="93" spans="5:5" x14ac:dyDescent="0.2">
      <c r="E93" s="37" t="s">
        <v>503</v>
      </c>
    </row>
    <row r="94" spans="5:5" x14ac:dyDescent="0.2">
      <c r="E94" s="37" t="s">
        <v>504</v>
      </c>
    </row>
    <row r="95" spans="5:5" x14ac:dyDescent="0.2">
      <c r="E95" s="37" t="s">
        <v>505</v>
      </c>
    </row>
    <row r="96" spans="5:5" x14ac:dyDescent="0.2">
      <c r="E96" s="37" t="s">
        <v>506</v>
      </c>
    </row>
    <row r="97" spans="5:5" x14ac:dyDescent="0.2">
      <c r="E97" s="37" t="s">
        <v>507</v>
      </c>
    </row>
    <row r="98" spans="5:5" x14ac:dyDescent="0.2">
      <c r="E98" s="37" t="s">
        <v>508</v>
      </c>
    </row>
    <row r="100" spans="5:5" x14ac:dyDescent="0.2">
      <c r="E100" s="22" t="s">
        <v>509</v>
      </c>
    </row>
    <row r="101" spans="5:5" x14ac:dyDescent="0.2">
      <c r="E101" s="36"/>
    </row>
    <row r="102" spans="5:5" x14ac:dyDescent="0.2">
      <c r="E102" s="37" t="s">
        <v>510</v>
      </c>
    </row>
    <row r="103" spans="5:5" x14ac:dyDescent="0.2">
      <c r="E103" s="37" t="s">
        <v>511</v>
      </c>
    </row>
    <row r="104" spans="5:5" x14ac:dyDescent="0.2">
      <c r="E104" s="37" t="s">
        <v>512</v>
      </c>
    </row>
    <row r="105" spans="5:5" x14ac:dyDescent="0.2">
      <c r="E105" s="37" t="s">
        <v>513</v>
      </c>
    </row>
    <row r="106" spans="5:5" x14ac:dyDescent="0.2">
      <c r="E106" s="37" t="s">
        <v>514</v>
      </c>
    </row>
    <row r="108" spans="5:5" x14ac:dyDescent="0.2">
      <c r="E108" s="22" t="s">
        <v>515</v>
      </c>
    </row>
    <row r="109" spans="5:5" x14ac:dyDescent="0.2">
      <c r="E109" s="36"/>
    </row>
    <row r="110" spans="5:5" x14ac:dyDescent="0.2">
      <c r="E110" s="37" t="s">
        <v>516</v>
      </c>
    </row>
    <row r="111" spans="5:5" x14ac:dyDescent="0.2">
      <c r="E111" s="37" t="s">
        <v>517</v>
      </c>
    </row>
    <row r="112" spans="5:5" x14ac:dyDescent="0.2">
      <c r="E112" s="37" t="s">
        <v>518</v>
      </c>
    </row>
    <row r="114" spans="5:5" x14ac:dyDescent="0.2">
      <c r="E114" s="22" t="s">
        <v>519</v>
      </c>
    </row>
    <row r="116" spans="5:5" ht="15" x14ac:dyDescent="0.2">
      <c r="E116" s="41" t="s">
        <v>520</v>
      </c>
    </row>
    <row r="117" spans="5:5" ht="15" x14ac:dyDescent="0.2">
      <c r="E117" s="41" t="s">
        <v>521</v>
      </c>
    </row>
    <row r="118" spans="5:5" ht="15" x14ac:dyDescent="0.2">
      <c r="E118" s="41" t="s">
        <v>522</v>
      </c>
    </row>
    <row r="119" spans="5:5" ht="15" x14ac:dyDescent="0.2">
      <c r="E119" s="41" t="s">
        <v>523</v>
      </c>
    </row>
    <row r="120" spans="5:5" ht="15" x14ac:dyDescent="0.2">
      <c r="E120" s="41" t="s">
        <v>524</v>
      </c>
    </row>
    <row r="121" spans="5:5" ht="15" x14ac:dyDescent="0.2">
      <c r="E121" s="41" t="s">
        <v>525</v>
      </c>
    </row>
    <row r="122" spans="5:5" ht="15" x14ac:dyDescent="0.2">
      <c r="E122" s="41" t="s">
        <v>526</v>
      </c>
    </row>
    <row r="124" spans="5:5" ht="15.75" x14ac:dyDescent="0.2">
      <c r="E124" s="35" t="s">
        <v>527</v>
      </c>
    </row>
    <row r="125" spans="5:5" x14ac:dyDescent="0.2">
      <c r="E125" s="36"/>
    </row>
    <row r="126" spans="5:5" x14ac:dyDescent="0.2">
      <c r="E126" s="37" t="s">
        <v>528</v>
      </c>
    </row>
    <row r="127" spans="5:5" x14ac:dyDescent="0.2">
      <c r="E127" s="37" t="s">
        <v>529</v>
      </c>
    </row>
    <row r="128" spans="5:5" x14ac:dyDescent="0.2">
      <c r="E128" s="37" t="s">
        <v>530</v>
      </c>
    </row>
    <row r="129" spans="5:5" x14ac:dyDescent="0.2">
      <c r="E129" s="37" t="s">
        <v>531</v>
      </c>
    </row>
    <row r="130" spans="5:5" x14ac:dyDescent="0.2">
      <c r="E130" s="37" t="s">
        <v>532</v>
      </c>
    </row>
    <row r="131" spans="5:5" x14ac:dyDescent="0.2">
      <c r="E131" s="37" t="s">
        <v>533</v>
      </c>
    </row>
    <row r="132" spans="5:5" x14ac:dyDescent="0.2">
      <c r="E132" s="37" t="s">
        <v>534</v>
      </c>
    </row>
    <row r="133" spans="5:5" x14ac:dyDescent="0.2">
      <c r="E133" s="37" t="s">
        <v>535</v>
      </c>
    </row>
    <row r="134" spans="5:5" x14ac:dyDescent="0.2">
      <c r="E134" s="37" t="s">
        <v>536</v>
      </c>
    </row>
    <row r="135" spans="5:5" x14ac:dyDescent="0.2">
      <c r="E135" s="37" t="s">
        <v>537</v>
      </c>
    </row>
    <row r="136" spans="5:5" x14ac:dyDescent="0.2">
      <c r="E136" s="37" t="s">
        <v>538</v>
      </c>
    </row>
    <row r="137" spans="5:5" x14ac:dyDescent="0.2">
      <c r="E137" s="37" t="s">
        <v>539</v>
      </c>
    </row>
    <row r="138" spans="5:5" x14ac:dyDescent="0.2">
      <c r="E138" s="37" t="s">
        <v>540</v>
      </c>
    </row>
    <row r="139" spans="5:5" x14ac:dyDescent="0.2">
      <c r="E139" s="37" t="s">
        <v>541</v>
      </c>
    </row>
    <row r="141" spans="5:5" x14ac:dyDescent="0.2">
      <c r="E141" s="1" t="s">
        <v>542</v>
      </c>
    </row>
    <row r="143" spans="5:5" ht="15" x14ac:dyDescent="0.2">
      <c r="E143" s="41" t="s">
        <v>543</v>
      </c>
    </row>
    <row r="144" spans="5:5" ht="15" x14ac:dyDescent="0.2">
      <c r="E144" s="41" t="s">
        <v>544</v>
      </c>
    </row>
    <row r="146" spans="4:5" ht="23.25" x14ac:dyDescent="0.2">
      <c r="E146" s="25" t="s">
        <v>545</v>
      </c>
    </row>
    <row r="148" spans="4:5" x14ac:dyDescent="0.2">
      <c r="E148" s="1" t="s">
        <v>546</v>
      </c>
    </row>
    <row r="150" spans="4:5" x14ac:dyDescent="0.2">
      <c r="D150" s="23" t="s">
        <v>547</v>
      </c>
    </row>
  </sheetData>
  <hyperlinks>
    <hyperlink ref="C5" r:id="rId1" xr:uid="{23091449-AFC3-4440-9A0E-341B1FCD2CD6}"/>
    <hyperlink ref="C21" r:id="rId2" xr:uid="{01D4575E-E22B-4E3F-8B8A-3B4524F77922}"/>
    <hyperlink ref="D22" r:id="rId3" xr:uid="{4DF5D738-0B5C-44DC-8AC3-771CAA891057}"/>
    <hyperlink ref="E68" r:id="rId4" location="29546640" display="http://gathering.tweakers.net/forum/list_message/29546640 - 29546640" xr:uid="{255CA1DE-C088-4424-B5AA-C17946E7FD66}"/>
    <hyperlink ref="E72" r:id="rId5" display="http://www2.produktinfo.conrad.com/datenblaetter/125000-149999/125323-da-01-en-Datenprotokoll_SD_card_file_Formatv1_2.pdf" xr:uid="{477A0E29-652C-4F6E-915B-894C38B51011}"/>
    <hyperlink ref="D150" r:id="rId6" location="EnergyLoggerConfig" xr:uid="{7F044E80-0949-465B-9A15-E08A28DA1AE1}"/>
    <hyperlink ref="C6" r:id="rId7" xr:uid="{76F1A19E-D2BD-4B6F-BE27-76C0071511DB}"/>
    <hyperlink ref="C7" r:id="rId8" xr:uid="{647E7A5C-A2C0-4510-9CA1-A8616C9B9010}"/>
    <hyperlink ref="C8" r:id="rId9" xr:uid="{77890AB4-9248-4CF6-904A-03A6319761AA}"/>
    <hyperlink ref="D9" r:id="rId10" xr:uid="{67182523-6DF2-4371-A084-27C0F0AAB74C}"/>
    <hyperlink ref="D12" r:id="rId11" xr:uid="{1447476B-8271-477D-9338-37C1D061EE3A}"/>
    <hyperlink ref="D13" r:id="rId12" xr:uid="{A2C14EFB-B1DB-40F0-8D01-B71CAC710F69}"/>
    <hyperlink ref="D14" r:id="rId13" xr:uid="{5F10D6EE-B63F-4F0E-A807-543DC6D268EA}"/>
    <hyperlink ref="E10" r:id="rId14" xr:uid="{F139F46D-30BF-4220-9DC5-781B303906D7}"/>
    <hyperlink ref="E11" r:id="rId15" xr:uid="{10FE03FA-7652-4230-9593-2051464E6852}"/>
    <hyperlink ref="C17" r:id="rId16" xr:uid="{A3827EAD-5790-4A33-B0A7-56E02D30AC42}"/>
    <hyperlink ref="D18" r:id="rId17" xr:uid="{BE6196AF-F73D-4A60-A379-1DC47D373D6C}"/>
    <hyperlink ref="D19" r:id="rId18" xr:uid="{AF313DEA-DDD9-4F50-B109-0A185D53E5C4}"/>
  </hyperlinks>
  <pageMargins left="0.7" right="0.7" top="0.75" bottom="0.75" header="0.3" footer="0.3"/>
  <drawing r:id="rId19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2"/>
  <dimension ref="B2:C53"/>
  <sheetViews>
    <sheetView zoomScaleNormal="100" workbookViewId="0">
      <selection activeCell="B11" sqref="B11"/>
    </sheetView>
  </sheetViews>
  <sheetFormatPr defaultColWidth="9.140625" defaultRowHeight="12.75" x14ac:dyDescent="0.2"/>
  <cols>
    <col min="2" max="2" width="52.42578125" customWidth="1"/>
    <col min="3" max="3" width="99" customWidth="1"/>
  </cols>
  <sheetData>
    <row r="2" spans="2:3" x14ac:dyDescent="0.2">
      <c r="B2" s="23" t="s">
        <v>42</v>
      </c>
    </row>
    <row r="5" spans="2:3" ht="30" x14ac:dyDescent="0.2">
      <c r="B5" s="24" t="s">
        <v>43</v>
      </c>
    </row>
    <row r="7" spans="2:3" ht="42.75" customHeight="1" x14ac:dyDescent="0.2">
      <c r="B7" s="42" t="s">
        <v>44</v>
      </c>
      <c r="C7" s="43"/>
    </row>
    <row r="9" spans="2:3" x14ac:dyDescent="0.2">
      <c r="B9" s="23" t="s">
        <v>45</v>
      </c>
    </row>
    <row r="11" spans="2:3" ht="23.25" x14ac:dyDescent="0.2">
      <c r="B11" s="25" t="s">
        <v>46</v>
      </c>
    </row>
    <row r="13" spans="2:3" ht="17.25" x14ac:dyDescent="0.2">
      <c r="B13" s="26" t="s">
        <v>47</v>
      </c>
    </row>
    <row r="15" spans="2:3" x14ac:dyDescent="0.2">
      <c r="B15" s="1" t="s">
        <v>48</v>
      </c>
    </row>
    <row r="17" spans="2:3" ht="17.25" x14ac:dyDescent="0.2">
      <c r="B17" s="26" t="s">
        <v>49</v>
      </c>
    </row>
    <row r="19" spans="2:3" x14ac:dyDescent="0.2">
      <c r="B19" s="1" t="s">
        <v>50</v>
      </c>
    </row>
    <row r="21" spans="2:3" x14ac:dyDescent="0.2">
      <c r="B21" s="27" t="s">
        <v>51</v>
      </c>
      <c r="C21" s="27" t="s">
        <v>52</v>
      </c>
    </row>
    <row r="22" spans="2:3" x14ac:dyDescent="0.2">
      <c r="B22" s="28" t="s">
        <v>53</v>
      </c>
      <c r="C22" s="28" t="s">
        <v>54</v>
      </c>
    </row>
    <row r="23" spans="2:3" x14ac:dyDescent="0.2">
      <c r="B23" s="28">
        <v>3</v>
      </c>
      <c r="C23" s="28" t="s">
        <v>55</v>
      </c>
    </row>
    <row r="24" spans="2:3" x14ac:dyDescent="0.2">
      <c r="B24" s="28">
        <v>4</v>
      </c>
      <c r="C24" s="28" t="s">
        <v>56</v>
      </c>
    </row>
    <row r="25" spans="2:3" x14ac:dyDescent="0.2">
      <c r="B25" s="28">
        <v>5</v>
      </c>
      <c r="C25" s="28" t="s">
        <v>57</v>
      </c>
    </row>
    <row r="26" spans="2:3" x14ac:dyDescent="0.2">
      <c r="B26" s="28" t="s">
        <v>58</v>
      </c>
      <c r="C26" s="28" t="s">
        <v>59</v>
      </c>
    </row>
    <row r="27" spans="2:3" x14ac:dyDescent="0.2">
      <c r="B27" s="28">
        <v>11</v>
      </c>
      <c r="C27" s="28" t="s">
        <v>60</v>
      </c>
    </row>
    <row r="28" spans="2:3" x14ac:dyDescent="0.2">
      <c r="B28" s="28" t="s">
        <v>61</v>
      </c>
      <c r="C28" s="28" t="s">
        <v>62</v>
      </c>
    </row>
    <row r="29" spans="2:3" x14ac:dyDescent="0.2">
      <c r="B29" s="28" t="s">
        <v>63</v>
      </c>
      <c r="C29" s="28" t="s">
        <v>64</v>
      </c>
    </row>
    <row r="31" spans="2:3" ht="17.25" x14ac:dyDescent="0.2">
      <c r="B31" s="26" t="s">
        <v>65</v>
      </c>
    </row>
    <row r="33" spans="2:3" x14ac:dyDescent="0.2">
      <c r="B33" s="1" t="s">
        <v>66</v>
      </c>
    </row>
    <row r="35" spans="2:3" x14ac:dyDescent="0.2">
      <c r="B35" s="27" t="s">
        <v>51</v>
      </c>
      <c r="C35" s="27" t="s">
        <v>52</v>
      </c>
    </row>
    <row r="36" spans="2:3" x14ac:dyDescent="0.2">
      <c r="B36" s="28" t="s">
        <v>67</v>
      </c>
      <c r="C36" s="28" t="s">
        <v>68</v>
      </c>
    </row>
    <row r="37" spans="2:3" x14ac:dyDescent="0.2">
      <c r="B37" s="28" t="s">
        <v>69</v>
      </c>
      <c r="C37" s="28" t="s">
        <v>70</v>
      </c>
    </row>
    <row r="38" spans="2:3" x14ac:dyDescent="0.2">
      <c r="B38" s="28" t="s">
        <v>71</v>
      </c>
      <c r="C38" s="28" t="s">
        <v>72</v>
      </c>
    </row>
    <row r="39" spans="2:3" x14ac:dyDescent="0.2">
      <c r="B39" s="28" t="s">
        <v>73</v>
      </c>
      <c r="C39" s="28" t="s">
        <v>74</v>
      </c>
    </row>
    <row r="40" spans="2:3" x14ac:dyDescent="0.2">
      <c r="B40" s="28" t="s">
        <v>75</v>
      </c>
      <c r="C40" s="28" t="s">
        <v>76</v>
      </c>
    </row>
    <row r="41" spans="2:3" x14ac:dyDescent="0.2">
      <c r="B41" s="28">
        <v>84</v>
      </c>
      <c r="C41" s="28" t="s">
        <v>77</v>
      </c>
    </row>
    <row r="42" spans="2:3" x14ac:dyDescent="0.2">
      <c r="B42" s="28" t="s">
        <v>78</v>
      </c>
      <c r="C42" s="28" t="s">
        <v>62</v>
      </c>
    </row>
    <row r="43" spans="2:3" x14ac:dyDescent="0.2">
      <c r="B43" s="28" t="s">
        <v>79</v>
      </c>
      <c r="C43" s="28" t="s">
        <v>64</v>
      </c>
    </row>
    <row r="44" spans="2:3" x14ac:dyDescent="0.2">
      <c r="B44" s="28" t="s">
        <v>80</v>
      </c>
      <c r="C44" s="28" t="s">
        <v>81</v>
      </c>
    </row>
    <row r="45" spans="2:3" x14ac:dyDescent="0.2">
      <c r="B45" s="28" t="s">
        <v>82</v>
      </c>
      <c r="C45" s="28" t="s">
        <v>83</v>
      </c>
    </row>
    <row r="47" spans="2:3" ht="25.5" x14ac:dyDescent="0.2">
      <c r="B47" s="26" t="s">
        <v>84</v>
      </c>
      <c r="C47" s="29" t="s">
        <v>93</v>
      </c>
    </row>
    <row r="49" spans="2:3" x14ac:dyDescent="0.2">
      <c r="B49" s="27" t="s">
        <v>51</v>
      </c>
      <c r="C49" s="27" t="s">
        <v>52</v>
      </c>
    </row>
    <row r="50" spans="2:3" x14ac:dyDescent="0.2">
      <c r="B50" s="28" t="s">
        <v>53</v>
      </c>
      <c r="C50" s="28" t="s">
        <v>85</v>
      </c>
    </row>
    <row r="51" spans="2:3" x14ac:dyDescent="0.2">
      <c r="B51" s="28" t="s">
        <v>86</v>
      </c>
      <c r="C51" s="28" t="s">
        <v>87</v>
      </c>
    </row>
    <row r="52" spans="2:3" x14ac:dyDescent="0.2">
      <c r="B52" s="28" t="s">
        <v>88</v>
      </c>
      <c r="C52" s="28" t="s">
        <v>89</v>
      </c>
    </row>
    <row r="53" spans="2:3" x14ac:dyDescent="0.2">
      <c r="B53" s="28" t="s">
        <v>90</v>
      </c>
      <c r="C53" s="28" t="s">
        <v>91</v>
      </c>
    </row>
  </sheetData>
  <mergeCells count="1">
    <mergeCell ref="B7:C7"/>
  </mergeCells>
  <hyperlinks>
    <hyperlink ref="B2" r:id="rId1" xr:uid="{00000000-0004-0000-0300-000000000000}"/>
    <hyperlink ref="B9" r:id="rId2" display="https://pmhahn.de/linux/energyLogger/EnergyLogger.pl" xr:uid="{00000000-0004-0000-0300-000001000000}"/>
  </hyperlink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1"/>
  <dimension ref="B4:U34"/>
  <sheetViews>
    <sheetView workbookViewId="0">
      <selection activeCell="R8" sqref="R8"/>
    </sheetView>
  </sheetViews>
  <sheetFormatPr defaultColWidth="9.140625" defaultRowHeight="12.75" x14ac:dyDescent="0.2"/>
  <sheetData>
    <row r="4" spans="18:21" x14ac:dyDescent="0.2">
      <c r="R4" s="22" t="s">
        <v>388</v>
      </c>
    </row>
    <row r="6" spans="18:21" x14ac:dyDescent="0.2">
      <c r="S6" t="s">
        <v>29</v>
      </c>
    </row>
    <row r="7" spans="18:21" x14ac:dyDescent="0.2">
      <c r="T7" t="s">
        <v>30</v>
      </c>
    </row>
    <row r="8" spans="18:21" x14ac:dyDescent="0.2">
      <c r="T8" s="1" t="s">
        <v>31</v>
      </c>
    </row>
    <row r="9" spans="18:21" x14ac:dyDescent="0.2">
      <c r="T9" s="1" t="s">
        <v>32</v>
      </c>
    </row>
    <row r="11" spans="18:21" x14ac:dyDescent="0.2">
      <c r="T11" s="1" t="s">
        <v>33</v>
      </c>
    </row>
    <row r="12" spans="18:21" x14ac:dyDescent="0.2">
      <c r="U12" t="s">
        <v>34</v>
      </c>
    </row>
    <row r="13" spans="18:21" x14ac:dyDescent="0.2">
      <c r="U13" t="s">
        <v>35</v>
      </c>
    </row>
    <row r="15" spans="18:21" x14ac:dyDescent="0.2">
      <c r="T15" t="s">
        <v>36</v>
      </c>
    </row>
    <row r="16" spans="18:21" x14ac:dyDescent="0.2">
      <c r="U16" s="1" t="s">
        <v>40</v>
      </c>
    </row>
    <row r="17" spans="21:21" x14ac:dyDescent="0.2">
      <c r="U17" s="1" t="s">
        <v>41</v>
      </c>
    </row>
    <row r="33" spans="2:21" x14ac:dyDescent="0.2">
      <c r="B33" s="1" t="s">
        <v>37</v>
      </c>
      <c r="M33" s="1" t="s">
        <v>38</v>
      </c>
      <c r="U33" s="1" t="s">
        <v>39</v>
      </c>
    </row>
    <row r="34" spans="2:21" x14ac:dyDescent="0.2">
      <c r="B34" s="1" t="s">
        <v>38</v>
      </c>
    </row>
  </sheetData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C4:G13"/>
  <sheetViews>
    <sheetView workbookViewId="0">
      <selection activeCell="C17" sqref="C17"/>
    </sheetView>
  </sheetViews>
  <sheetFormatPr defaultColWidth="9.140625" defaultRowHeight="12.75" x14ac:dyDescent="0.2"/>
  <cols>
    <col min="3" max="3" width="37.28515625" bestFit="1" customWidth="1"/>
    <col min="7" max="7" width="18.85546875" bestFit="1" customWidth="1"/>
  </cols>
  <sheetData>
    <row r="4" spans="3:7" x14ac:dyDescent="0.2">
      <c r="C4" t="s">
        <v>400</v>
      </c>
      <c r="G4" t="s">
        <v>395</v>
      </c>
    </row>
    <row r="5" spans="3:7" x14ac:dyDescent="0.2">
      <c r="C5" t="s">
        <v>390</v>
      </c>
      <c r="G5">
        <v>4439361</v>
      </c>
    </row>
    <row r="6" spans="3:7" x14ac:dyDescent="0.2">
      <c r="C6" t="s">
        <v>391</v>
      </c>
      <c r="G6" t="s">
        <v>396</v>
      </c>
    </row>
    <row r="7" spans="3:7" x14ac:dyDescent="0.2">
      <c r="C7" t="s">
        <v>392</v>
      </c>
      <c r="G7">
        <v>44561</v>
      </c>
    </row>
    <row r="8" spans="3:7" x14ac:dyDescent="0.2">
      <c r="C8" t="s">
        <v>393</v>
      </c>
      <c r="G8" t="s">
        <v>397</v>
      </c>
    </row>
    <row r="9" spans="3:7" x14ac:dyDescent="0.2">
      <c r="C9" t="s">
        <v>394</v>
      </c>
      <c r="G9" s="30">
        <v>44393</v>
      </c>
    </row>
    <row r="10" spans="3:7" x14ac:dyDescent="0.2">
      <c r="C10" t="s">
        <v>401</v>
      </c>
      <c r="G10" t="s">
        <v>398</v>
      </c>
    </row>
    <row r="11" spans="3:7" x14ac:dyDescent="0.2">
      <c r="C11" t="s">
        <v>402</v>
      </c>
      <c r="G11" s="30">
        <v>43936</v>
      </c>
    </row>
    <row r="12" spans="3:7" x14ac:dyDescent="0.2">
      <c r="C12" t="s">
        <v>403</v>
      </c>
      <c r="G12" t="s">
        <v>399</v>
      </c>
    </row>
    <row r="13" spans="3:7" x14ac:dyDescent="0.2">
      <c r="G13" s="30">
        <v>39361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3"/>
  <dimension ref="B4:F332"/>
  <sheetViews>
    <sheetView topLeftCell="A3" workbookViewId="0">
      <selection activeCell="F24" sqref="F24"/>
    </sheetView>
  </sheetViews>
  <sheetFormatPr defaultColWidth="9.140625" defaultRowHeight="12.75" x14ac:dyDescent="0.2"/>
  <sheetData>
    <row r="4" spans="2:3" x14ac:dyDescent="0.2">
      <c r="B4" t="s">
        <v>94</v>
      </c>
    </row>
    <row r="5" spans="2:3" x14ac:dyDescent="0.2">
      <c r="B5" t="s">
        <v>95</v>
      </c>
    </row>
    <row r="6" spans="2:3" x14ac:dyDescent="0.2">
      <c r="B6" t="s">
        <v>96</v>
      </c>
    </row>
    <row r="7" spans="2:3" x14ac:dyDescent="0.2">
      <c r="B7" t="s">
        <v>97</v>
      </c>
    </row>
    <row r="9" spans="2:3" x14ac:dyDescent="0.2">
      <c r="B9" t="s">
        <v>98</v>
      </c>
    </row>
    <row r="10" spans="2:3" x14ac:dyDescent="0.2">
      <c r="B10" t="s">
        <v>99</v>
      </c>
    </row>
    <row r="11" spans="2:3" x14ac:dyDescent="0.2">
      <c r="C11" t="s">
        <v>100</v>
      </c>
    </row>
    <row r="12" spans="2:3" x14ac:dyDescent="0.2">
      <c r="C12" t="s">
        <v>101</v>
      </c>
    </row>
    <row r="13" spans="2:3" x14ac:dyDescent="0.2">
      <c r="C13" t="s">
        <v>102</v>
      </c>
    </row>
    <row r="14" spans="2:3" x14ac:dyDescent="0.2">
      <c r="C14" t="s">
        <v>103</v>
      </c>
    </row>
    <row r="15" spans="2:3" x14ac:dyDescent="0.2">
      <c r="B15" t="s">
        <v>104</v>
      </c>
    </row>
    <row r="16" spans="2:3" x14ac:dyDescent="0.2">
      <c r="B16" t="s">
        <v>105</v>
      </c>
    </row>
    <row r="18" spans="2:3" x14ac:dyDescent="0.2">
      <c r="B18" t="s">
        <v>106</v>
      </c>
    </row>
    <row r="19" spans="2:3" x14ac:dyDescent="0.2">
      <c r="B19" t="s">
        <v>107</v>
      </c>
    </row>
    <row r="20" spans="2:3" x14ac:dyDescent="0.2">
      <c r="B20" t="s">
        <v>108</v>
      </c>
    </row>
    <row r="21" spans="2:3" x14ac:dyDescent="0.2">
      <c r="B21" t="s">
        <v>109</v>
      </c>
    </row>
    <row r="22" spans="2:3" x14ac:dyDescent="0.2">
      <c r="B22" t="s">
        <v>110</v>
      </c>
    </row>
    <row r="23" spans="2:3" x14ac:dyDescent="0.2">
      <c r="B23" t="s">
        <v>111</v>
      </c>
    </row>
    <row r="24" spans="2:3" x14ac:dyDescent="0.2">
      <c r="B24" t="s">
        <v>112</v>
      </c>
    </row>
    <row r="25" spans="2:3" x14ac:dyDescent="0.2">
      <c r="B25" t="s">
        <v>113</v>
      </c>
    </row>
    <row r="26" spans="2:3" x14ac:dyDescent="0.2">
      <c r="C26" t="s">
        <v>114</v>
      </c>
    </row>
    <row r="27" spans="2:3" x14ac:dyDescent="0.2">
      <c r="C27" t="s">
        <v>115</v>
      </c>
    </row>
    <row r="28" spans="2:3" x14ac:dyDescent="0.2">
      <c r="C28" t="s">
        <v>116</v>
      </c>
    </row>
    <row r="29" spans="2:3" x14ac:dyDescent="0.2">
      <c r="C29" t="s">
        <v>117</v>
      </c>
    </row>
    <row r="30" spans="2:3" x14ac:dyDescent="0.2">
      <c r="C30" t="s">
        <v>118</v>
      </c>
    </row>
    <row r="31" spans="2:3" x14ac:dyDescent="0.2">
      <c r="C31" t="s">
        <v>119</v>
      </c>
    </row>
    <row r="32" spans="2:3" x14ac:dyDescent="0.2">
      <c r="C32" t="s">
        <v>120</v>
      </c>
    </row>
    <row r="33" spans="2:3" x14ac:dyDescent="0.2">
      <c r="C33" t="s">
        <v>121</v>
      </c>
    </row>
    <row r="34" spans="2:3" x14ac:dyDescent="0.2">
      <c r="C34" t="s">
        <v>122</v>
      </c>
    </row>
    <row r="35" spans="2:3" x14ac:dyDescent="0.2">
      <c r="C35" t="s">
        <v>123</v>
      </c>
    </row>
    <row r="36" spans="2:3" x14ac:dyDescent="0.2">
      <c r="C36" t="s">
        <v>124</v>
      </c>
    </row>
    <row r="37" spans="2:3" x14ac:dyDescent="0.2">
      <c r="C37" t="s">
        <v>125</v>
      </c>
    </row>
    <row r="38" spans="2:3" x14ac:dyDescent="0.2">
      <c r="C38" t="s">
        <v>126</v>
      </c>
    </row>
    <row r="39" spans="2:3" x14ac:dyDescent="0.2">
      <c r="C39" t="s">
        <v>127</v>
      </c>
    </row>
    <row r="40" spans="2:3" x14ac:dyDescent="0.2">
      <c r="C40" t="s">
        <v>128</v>
      </c>
    </row>
    <row r="41" spans="2:3" x14ac:dyDescent="0.2">
      <c r="C41" t="s">
        <v>129</v>
      </c>
    </row>
    <row r="42" spans="2:3" x14ac:dyDescent="0.2">
      <c r="C42" t="s">
        <v>130</v>
      </c>
    </row>
    <row r="43" spans="2:3" x14ac:dyDescent="0.2">
      <c r="C43" t="s">
        <v>131</v>
      </c>
    </row>
    <row r="44" spans="2:3" x14ac:dyDescent="0.2">
      <c r="C44" t="s">
        <v>132</v>
      </c>
    </row>
    <row r="45" spans="2:3" x14ac:dyDescent="0.2">
      <c r="C45" t="s">
        <v>133</v>
      </c>
    </row>
    <row r="46" spans="2:3" x14ac:dyDescent="0.2">
      <c r="C46" t="s">
        <v>134</v>
      </c>
    </row>
    <row r="47" spans="2:3" x14ac:dyDescent="0.2">
      <c r="C47" t="s">
        <v>135</v>
      </c>
    </row>
    <row r="48" spans="2:3" x14ac:dyDescent="0.2">
      <c r="B48" t="s">
        <v>104</v>
      </c>
    </row>
    <row r="50" spans="2:3" x14ac:dyDescent="0.2">
      <c r="B50" t="s">
        <v>136</v>
      </c>
    </row>
    <row r="51" spans="2:3" x14ac:dyDescent="0.2">
      <c r="C51" t="s">
        <v>137</v>
      </c>
    </row>
    <row r="52" spans="2:3" x14ac:dyDescent="0.2">
      <c r="C52" t="s">
        <v>138</v>
      </c>
    </row>
    <row r="53" spans="2:3" x14ac:dyDescent="0.2">
      <c r="C53" t="s">
        <v>139</v>
      </c>
    </row>
    <row r="54" spans="2:3" x14ac:dyDescent="0.2">
      <c r="C54" t="s">
        <v>140</v>
      </c>
    </row>
    <row r="55" spans="2:3" x14ac:dyDescent="0.2">
      <c r="C55" t="s">
        <v>141</v>
      </c>
    </row>
    <row r="56" spans="2:3" x14ac:dyDescent="0.2">
      <c r="B56" t="s">
        <v>142</v>
      </c>
    </row>
    <row r="58" spans="2:3" x14ac:dyDescent="0.2">
      <c r="B58" t="s">
        <v>143</v>
      </c>
    </row>
    <row r="59" spans="2:3" x14ac:dyDescent="0.2">
      <c r="B59" t="s">
        <v>144</v>
      </c>
    </row>
    <row r="60" spans="2:3" x14ac:dyDescent="0.2">
      <c r="C60" t="s">
        <v>145</v>
      </c>
    </row>
    <row r="61" spans="2:3" x14ac:dyDescent="0.2">
      <c r="C61" t="s">
        <v>146</v>
      </c>
    </row>
    <row r="62" spans="2:3" x14ac:dyDescent="0.2">
      <c r="C62" t="s">
        <v>147</v>
      </c>
    </row>
    <row r="63" spans="2:3" x14ac:dyDescent="0.2">
      <c r="C63" t="s">
        <v>148</v>
      </c>
    </row>
    <row r="64" spans="2:3" x14ac:dyDescent="0.2">
      <c r="C64" t="s">
        <v>149</v>
      </c>
    </row>
    <row r="65" spans="3:4" x14ac:dyDescent="0.2">
      <c r="C65" t="s">
        <v>150</v>
      </c>
    </row>
    <row r="66" spans="3:4" x14ac:dyDescent="0.2">
      <c r="D66" t="s">
        <v>151</v>
      </c>
    </row>
    <row r="67" spans="3:4" x14ac:dyDescent="0.2">
      <c r="D67" t="s">
        <v>152</v>
      </c>
    </row>
    <row r="68" spans="3:4" x14ac:dyDescent="0.2">
      <c r="D68" t="s">
        <v>153</v>
      </c>
    </row>
    <row r="69" spans="3:4" x14ac:dyDescent="0.2">
      <c r="D69" t="s">
        <v>154</v>
      </c>
    </row>
    <row r="70" spans="3:4" x14ac:dyDescent="0.2">
      <c r="D70" t="s">
        <v>155</v>
      </c>
    </row>
    <row r="71" spans="3:4" x14ac:dyDescent="0.2">
      <c r="D71" t="s">
        <v>156</v>
      </c>
    </row>
    <row r="72" spans="3:4" x14ac:dyDescent="0.2">
      <c r="D72" t="s">
        <v>157</v>
      </c>
    </row>
    <row r="73" spans="3:4" x14ac:dyDescent="0.2">
      <c r="C73" t="s">
        <v>104</v>
      </c>
    </row>
    <row r="75" spans="3:4" x14ac:dyDescent="0.2">
      <c r="C75" t="s">
        <v>158</v>
      </c>
    </row>
    <row r="76" spans="3:4" x14ac:dyDescent="0.2">
      <c r="C76" t="s">
        <v>159</v>
      </c>
    </row>
    <row r="77" spans="3:4" x14ac:dyDescent="0.2">
      <c r="C77" t="s">
        <v>160</v>
      </c>
    </row>
    <row r="79" spans="3:4" x14ac:dyDescent="0.2">
      <c r="C79" t="s">
        <v>136</v>
      </c>
    </row>
    <row r="80" spans="3:4" x14ac:dyDescent="0.2">
      <c r="D80" t="s">
        <v>161</v>
      </c>
    </row>
    <row r="81" spans="2:4" x14ac:dyDescent="0.2">
      <c r="D81" t="s">
        <v>162</v>
      </c>
    </row>
    <row r="82" spans="2:4" x14ac:dyDescent="0.2">
      <c r="D82" t="s">
        <v>163</v>
      </c>
    </row>
    <row r="83" spans="2:4" x14ac:dyDescent="0.2">
      <c r="D83" t="s">
        <v>164</v>
      </c>
    </row>
    <row r="84" spans="2:4" x14ac:dyDescent="0.2">
      <c r="C84" t="s">
        <v>142</v>
      </c>
    </row>
    <row r="86" spans="2:4" x14ac:dyDescent="0.2">
      <c r="C86" t="s">
        <v>165</v>
      </c>
    </row>
    <row r="87" spans="2:4" x14ac:dyDescent="0.2">
      <c r="B87" t="s">
        <v>142</v>
      </c>
    </row>
    <row r="89" spans="2:4" x14ac:dyDescent="0.2">
      <c r="B89" t="s">
        <v>166</v>
      </c>
    </row>
    <row r="90" spans="2:4" x14ac:dyDescent="0.2">
      <c r="D90" t="s">
        <v>167</v>
      </c>
    </row>
    <row r="91" spans="2:4" x14ac:dyDescent="0.2">
      <c r="B91" t="s">
        <v>168</v>
      </c>
      <c r="D91" t="s">
        <v>169</v>
      </c>
    </row>
    <row r="92" spans="2:4" x14ac:dyDescent="0.2">
      <c r="C92" t="s">
        <v>170</v>
      </c>
    </row>
    <row r="94" spans="2:4" x14ac:dyDescent="0.2">
      <c r="B94" t="s">
        <v>171</v>
      </c>
    </row>
    <row r="95" spans="2:4" x14ac:dyDescent="0.2">
      <c r="B95" t="s">
        <v>172</v>
      </c>
    </row>
    <row r="97" spans="2:4" x14ac:dyDescent="0.2">
      <c r="B97" t="s">
        <v>173</v>
      </c>
    </row>
    <row r="98" spans="2:4" x14ac:dyDescent="0.2">
      <c r="B98" t="s">
        <v>174</v>
      </c>
    </row>
    <row r="99" spans="2:4" x14ac:dyDescent="0.2">
      <c r="C99" t="s">
        <v>175</v>
      </c>
    </row>
    <row r="100" spans="2:4" x14ac:dyDescent="0.2">
      <c r="C100" t="s">
        <v>176</v>
      </c>
    </row>
    <row r="101" spans="2:4" x14ac:dyDescent="0.2">
      <c r="C101" t="s">
        <v>177</v>
      </c>
    </row>
    <row r="102" spans="2:4" x14ac:dyDescent="0.2">
      <c r="C102" t="s">
        <v>178</v>
      </c>
    </row>
    <row r="103" spans="2:4" x14ac:dyDescent="0.2">
      <c r="C103" t="s">
        <v>179</v>
      </c>
    </row>
    <row r="104" spans="2:4" x14ac:dyDescent="0.2">
      <c r="C104" t="s">
        <v>180</v>
      </c>
    </row>
    <row r="105" spans="2:4" x14ac:dyDescent="0.2">
      <c r="C105" t="s">
        <v>181</v>
      </c>
    </row>
    <row r="106" spans="2:4" x14ac:dyDescent="0.2">
      <c r="C106" t="s">
        <v>182</v>
      </c>
    </row>
    <row r="107" spans="2:4" x14ac:dyDescent="0.2">
      <c r="C107" t="s">
        <v>183</v>
      </c>
    </row>
    <row r="109" spans="2:4" x14ac:dyDescent="0.2">
      <c r="C109" t="s">
        <v>184</v>
      </c>
    </row>
    <row r="110" spans="2:4" x14ac:dyDescent="0.2">
      <c r="D110" t="s">
        <v>185</v>
      </c>
    </row>
    <row r="111" spans="2:4" x14ac:dyDescent="0.2">
      <c r="D111" t="s">
        <v>186</v>
      </c>
    </row>
    <row r="112" spans="2:4" x14ac:dyDescent="0.2">
      <c r="D112" t="s">
        <v>187</v>
      </c>
    </row>
    <row r="113" spans="4:4" x14ac:dyDescent="0.2">
      <c r="D113" t="s">
        <v>188</v>
      </c>
    </row>
    <row r="115" spans="4:4" x14ac:dyDescent="0.2">
      <c r="D115" t="s">
        <v>189</v>
      </c>
    </row>
    <row r="116" spans="4:4" x14ac:dyDescent="0.2">
      <c r="D116" t="s">
        <v>190</v>
      </c>
    </row>
    <row r="117" spans="4:4" x14ac:dyDescent="0.2">
      <c r="D117" t="s">
        <v>191</v>
      </c>
    </row>
    <row r="118" spans="4:4" x14ac:dyDescent="0.2">
      <c r="D118" t="s">
        <v>192</v>
      </c>
    </row>
    <row r="119" spans="4:4" x14ac:dyDescent="0.2">
      <c r="D119" t="s">
        <v>193</v>
      </c>
    </row>
    <row r="120" spans="4:4" x14ac:dyDescent="0.2">
      <c r="D120" t="s">
        <v>194</v>
      </c>
    </row>
    <row r="121" spans="4:4" x14ac:dyDescent="0.2">
      <c r="D121" t="s">
        <v>195</v>
      </c>
    </row>
    <row r="122" spans="4:4" x14ac:dyDescent="0.2">
      <c r="D122" t="s">
        <v>196</v>
      </c>
    </row>
    <row r="123" spans="4:4" x14ac:dyDescent="0.2">
      <c r="D123" t="s">
        <v>197</v>
      </c>
    </row>
    <row r="124" spans="4:4" x14ac:dyDescent="0.2">
      <c r="D124" t="s">
        <v>198</v>
      </c>
    </row>
    <row r="126" spans="4:4" x14ac:dyDescent="0.2">
      <c r="D126" t="s">
        <v>199</v>
      </c>
    </row>
    <row r="127" spans="4:4" x14ac:dyDescent="0.2">
      <c r="D127" t="s">
        <v>200</v>
      </c>
    </row>
    <row r="128" spans="4:4" x14ac:dyDescent="0.2">
      <c r="D128" t="s">
        <v>200</v>
      </c>
    </row>
    <row r="129" spans="4:4" x14ac:dyDescent="0.2">
      <c r="D129" t="s">
        <v>200</v>
      </c>
    </row>
    <row r="130" spans="4:4" x14ac:dyDescent="0.2">
      <c r="D130" t="s">
        <v>200</v>
      </c>
    </row>
    <row r="131" spans="4:4" x14ac:dyDescent="0.2">
      <c r="D131" t="s">
        <v>200</v>
      </c>
    </row>
    <row r="132" spans="4:4" x14ac:dyDescent="0.2">
      <c r="D132" t="s">
        <v>200</v>
      </c>
    </row>
    <row r="133" spans="4:4" x14ac:dyDescent="0.2">
      <c r="D133" t="s">
        <v>200</v>
      </c>
    </row>
    <row r="134" spans="4:4" x14ac:dyDescent="0.2">
      <c r="D134" t="s">
        <v>200</v>
      </c>
    </row>
    <row r="135" spans="4:4" x14ac:dyDescent="0.2">
      <c r="D135" t="s">
        <v>200</v>
      </c>
    </row>
    <row r="137" spans="4:4" x14ac:dyDescent="0.2">
      <c r="D137" t="s">
        <v>201</v>
      </c>
    </row>
    <row r="138" spans="4:4" x14ac:dyDescent="0.2">
      <c r="D138" t="s">
        <v>202</v>
      </c>
    </row>
    <row r="139" spans="4:4" x14ac:dyDescent="0.2">
      <c r="D139" t="s">
        <v>202</v>
      </c>
    </row>
    <row r="140" spans="4:4" x14ac:dyDescent="0.2">
      <c r="D140" t="s">
        <v>202</v>
      </c>
    </row>
    <row r="141" spans="4:4" x14ac:dyDescent="0.2">
      <c r="D141" t="s">
        <v>202</v>
      </c>
    </row>
    <row r="142" spans="4:4" x14ac:dyDescent="0.2">
      <c r="D142" t="s">
        <v>202</v>
      </c>
    </row>
    <row r="143" spans="4:4" x14ac:dyDescent="0.2">
      <c r="D143" t="s">
        <v>202</v>
      </c>
    </row>
    <row r="144" spans="4:4" x14ac:dyDescent="0.2">
      <c r="D144" t="s">
        <v>202</v>
      </c>
    </row>
    <row r="145" spans="4:5" x14ac:dyDescent="0.2">
      <c r="D145" t="s">
        <v>202</v>
      </c>
    </row>
    <row r="146" spans="4:5" x14ac:dyDescent="0.2">
      <c r="D146" t="s">
        <v>202</v>
      </c>
    </row>
    <row r="148" spans="4:5" x14ac:dyDescent="0.2">
      <c r="D148" t="s">
        <v>203</v>
      </c>
    </row>
    <row r="149" spans="4:5" x14ac:dyDescent="0.2">
      <c r="D149" t="s">
        <v>204</v>
      </c>
    </row>
    <row r="150" spans="4:5" x14ac:dyDescent="0.2">
      <c r="D150" t="s">
        <v>205</v>
      </c>
    </row>
    <row r="151" spans="4:5" x14ac:dyDescent="0.2">
      <c r="D151" t="s">
        <v>206</v>
      </c>
    </row>
    <row r="152" spans="4:5" x14ac:dyDescent="0.2">
      <c r="D152" t="s">
        <v>207</v>
      </c>
    </row>
    <row r="153" spans="4:5" x14ac:dyDescent="0.2">
      <c r="D153" t="s">
        <v>208</v>
      </c>
    </row>
    <row r="154" spans="4:5" x14ac:dyDescent="0.2">
      <c r="D154" t="s">
        <v>209</v>
      </c>
    </row>
    <row r="155" spans="4:5" x14ac:dyDescent="0.2">
      <c r="D155" t="s">
        <v>210</v>
      </c>
    </row>
    <row r="156" spans="4:5" x14ac:dyDescent="0.2">
      <c r="D156" t="s">
        <v>211</v>
      </c>
    </row>
    <row r="157" spans="4:5" x14ac:dyDescent="0.2">
      <c r="D157" t="s">
        <v>136</v>
      </c>
    </row>
    <row r="158" spans="4:5" x14ac:dyDescent="0.2">
      <c r="E158" t="s">
        <v>212</v>
      </c>
    </row>
    <row r="159" spans="4:5" x14ac:dyDescent="0.2">
      <c r="E159" t="s">
        <v>213</v>
      </c>
    </row>
    <row r="160" spans="4:5" x14ac:dyDescent="0.2">
      <c r="E160" t="s">
        <v>214</v>
      </c>
    </row>
    <row r="161" spans="3:6" x14ac:dyDescent="0.2">
      <c r="E161" t="s">
        <v>215</v>
      </c>
    </row>
    <row r="162" spans="3:6" x14ac:dyDescent="0.2">
      <c r="E162" t="s">
        <v>216</v>
      </c>
    </row>
    <row r="163" spans="3:6" x14ac:dyDescent="0.2">
      <c r="D163" t="s">
        <v>142</v>
      </c>
    </row>
    <row r="164" spans="3:6" x14ac:dyDescent="0.2">
      <c r="D164" t="s">
        <v>217</v>
      </c>
    </row>
    <row r="165" spans="3:6" x14ac:dyDescent="0.2">
      <c r="C165" t="s">
        <v>142</v>
      </c>
    </row>
    <row r="167" spans="3:6" x14ac:dyDescent="0.2">
      <c r="C167" t="s">
        <v>218</v>
      </c>
    </row>
    <row r="168" spans="3:6" x14ac:dyDescent="0.2">
      <c r="D168" t="s">
        <v>219</v>
      </c>
    </row>
    <row r="169" spans="3:6" x14ac:dyDescent="0.2">
      <c r="E169" t="s">
        <v>220</v>
      </c>
    </row>
    <row r="170" spans="3:6" x14ac:dyDescent="0.2">
      <c r="E170" t="s">
        <v>221</v>
      </c>
    </row>
    <row r="171" spans="3:6" x14ac:dyDescent="0.2">
      <c r="E171" t="s">
        <v>211</v>
      </c>
    </row>
    <row r="172" spans="3:6" x14ac:dyDescent="0.2">
      <c r="E172" t="s">
        <v>222</v>
      </c>
    </row>
    <row r="173" spans="3:6" x14ac:dyDescent="0.2">
      <c r="E173" t="s">
        <v>223</v>
      </c>
    </row>
    <row r="174" spans="3:6" x14ac:dyDescent="0.2">
      <c r="E174" t="s">
        <v>136</v>
      </c>
    </row>
    <row r="175" spans="3:6" x14ac:dyDescent="0.2">
      <c r="F175" t="s">
        <v>224</v>
      </c>
    </row>
    <row r="176" spans="3:6" x14ac:dyDescent="0.2">
      <c r="E176" t="s">
        <v>142</v>
      </c>
    </row>
    <row r="177" spans="3:6" x14ac:dyDescent="0.2">
      <c r="D177" t="s">
        <v>142</v>
      </c>
    </row>
    <row r="179" spans="3:6" x14ac:dyDescent="0.2">
      <c r="D179" t="s">
        <v>225</v>
      </c>
    </row>
    <row r="180" spans="3:6" x14ac:dyDescent="0.2">
      <c r="D180" t="s">
        <v>226</v>
      </c>
    </row>
    <row r="181" spans="3:6" x14ac:dyDescent="0.2">
      <c r="D181" t="s">
        <v>227</v>
      </c>
    </row>
    <row r="182" spans="3:6" x14ac:dyDescent="0.2">
      <c r="D182" t="s">
        <v>228</v>
      </c>
    </row>
    <row r="183" spans="3:6" x14ac:dyDescent="0.2">
      <c r="D183" t="s">
        <v>229</v>
      </c>
    </row>
    <row r="185" spans="3:6" x14ac:dyDescent="0.2">
      <c r="D185" t="s">
        <v>230</v>
      </c>
    </row>
    <row r="186" spans="3:6" x14ac:dyDescent="0.2">
      <c r="E186" t="s">
        <v>231</v>
      </c>
    </row>
    <row r="187" spans="3:6" x14ac:dyDescent="0.2">
      <c r="E187" t="s">
        <v>232</v>
      </c>
    </row>
    <row r="188" spans="3:6" x14ac:dyDescent="0.2">
      <c r="F188" t="s">
        <v>233</v>
      </c>
    </row>
    <row r="189" spans="3:6" x14ac:dyDescent="0.2">
      <c r="E189" t="s">
        <v>142</v>
      </c>
    </row>
    <row r="190" spans="3:6" x14ac:dyDescent="0.2">
      <c r="E190" t="s">
        <v>234</v>
      </c>
    </row>
    <row r="191" spans="3:6" x14ac:dyDescent="0.2">
      <c r="D191" t="s">
        <v>142</v>
      </c>
    </row>
    <row r="192" spans="3:6" x14ac:dyDescent="0.2">
      <c r="C192" t="s">
        <v>142</v>
      </c>
    </row>
    <row r="193" spans="2:3" x14ac:dyDescent="0.2">
      <c r="B193" t="s">
        <v>142</v>
      </c>
    </row>
    <row r="195" spans="2:3" x14ac:dyDescent="0.2">
      <c r="B195" t="s">
        <v>235</v>
      </c>
    </row>
    <row r="196" spans="2:3" x14ac:dyDescent="0.2">
      <c r="B196" t="s">
        <v>236</v>
      </c>
    </row>
    <row r="198" spans="2:3" x14ac:dyDescent="0.2">
      <c r="B198" t="s">
        <v>237</v>
      </c>
    </row>
    <row r="199" spans="2:3" x14ac:dyDescent="0.2">
      <c r="B199" t="s">
        <v>238</v>
      </c>
    </row>
    <row r="200" spans="2:3" x14ac:dyDescent="0.2">
      <c r="C200" t="s">
        <v>239</v>
      </c>
    </row>
    <row r="201" spans="2:3" x14ac:dyDescent="0.2">
      <c r="C201" t="s">
        <v>240</v>
      </c>
    </row>
    <row r="202" spans="2:3" x14ac:dyDescent="0.2">
      <c r="C202" t="s">
        <v>241</v>
      </c>
    </row>
    <row r="203" spans="2:3" x14ac:dyDescent="0.2">
      <c r="C203" t="s">
        <v>242</v>
      </c>
    </row>
    <row r="204" spans="2:3" x14ac:dyDescent="0.2">
      <c r="B204" t="s">
        <v>142</v>
      </c>
    </row>
    <row r="206" spans="2:3" x14ac:dyDescent="0.2">
      <c r="B206" t="s">
        <v>243</v>
      </c>
    </row>
    <row r="207" spans="2:3" x14ac:dyDescent="0.2">
      <c r="B207" t="s">
        <v>244</v>
      </c>
    </row>
    <row r="208" spans="2:3" x14ac:dyDescent="0.2">
      <c r="C208" t="s">
        <v>245</v>
      </c>
    </row>
    <row r="209" spans="2:4" x14ac:dyDescent="0.2">
      <c r="C209" t="s">
        <v>246</v>
      </c>
    </row>
    <row r="210" spans="2:4" x14ac:dyDescent="0.2">
      <c r="C210" t="s">
        <v>247</v>
      </c>
    </row>
    <row r="211" spans="2:4" x14ac:dyDescent="0.2">
      <c r="D211" t="s">
        <v>248</v>
      </c>
    </row>
    <row r="212" spans="2:4" x14ac:dyDescent="0.2">
      <c r="D212" t="s">
        <v>249</v>
      </c>
    </row>
    <row r="213" spans="2:4" x14ac:dyDescent="0.2">
      <c r="C213" t="s">
        <v>142</v>
      </c>
    </row>
    <row r="214" spans="2:4" x14ac:dyDescent="0.2">
      <c r="C214" t="s">
        <v>250</v>
      </c>
    </row>
    <row r="215" spans="2:4" x14ac:dyDescent="0.2">
      <c r="C215" t="s">
        <v>251</v>
      </c>
    </row>
    <row r="216" spans="2:4" x14ac:dyDescent="0.2">
      <c r="C216" t="s">
        <v>252</v>
      </c>
    </row>
    <row r="217" spans="2:4" x14ac:dyDescent="0.2">
      <c r="C217" t="s">
        <v>253</v>
      </c>
    </row>
    <row r="218" spans="2:4" x14ac:dyDescent="0.2">
      <c r="C218" t="s">
        <v>254</v>
      </c>
    </row>
    <row r="219" spans="2:4" x14ac:dyDescent="0.2">
      <c r="C219" t="s">
        <v>255</v>
      </c>
    </row>
    <row r="220" spans="2:4" x14ac:dyDescent="0.2">
      <c r="C220" t="s">
        <v>256</v>
      </c>
    </row>
    <row r="221" spans="2:4" x14ac:dyDescent="0.2">
      <c r="C221" t="s">
        <v>257</v>
      </c>
    </row>
    <row r="222" spans="2:4" x14ac:dyDescent="0.2">
      <c r="C222" t="s">
        <v>258</v>
      </c>
    </row>
    <row r="223" spans="2:4" x14ac:dyDescent="0.2">
      <c r="B223" t="s">
        <v>142</v>
      </c>
    </row>
    <row r="225" spans="2:4" x14ac:dyDescent="0.2">
      <c r="B225" t="s">
        <v>259</v>
      </c>
    </row>
    <row r="226" spans="2:4" x14ac:dyDescent="0.2">
      <c r="B226" t="s">
        <v>260</v>
      </c>
    </row>
    <row r="227" spans="2:4" x14ac:dyDescent="0.2">
      <c r="C227" t="s">
        <v>245</v>
      </c>
    </row>
    <row r="228" spans="2:4" x14ac:dyDescent="0.2">
      <c r="C228" t="s">
        <v>261</v>
      </c>
    </row>
    <row r="229" spans="2:4" x14ac:dyDescent="0.2">
      <c r="C229" t="s">
        <v>262</v>
      </c>
    </row>
    <row r="230" spans="2:4" x14ac:dyDescent="0.2">
      <c r="C230" t="s">
        <v>246</v>
      </c>
    </row>
    <row r="231" spans="2:4" x14ac:dyDescent="0.2">
      <c r="C231" t="s">
        <v>247</v>
      </c>
    </row>
    <row r="232" spans="2:4" x14ac:dyDescent="0.2">
      <c r="D232" t="s">
        <v>248</v>
      </c>
    </row>
    <row r="233" spans="2:4" x14ac:dyDescent="0.2">
      <c r="D233" t="s">
        <v>249</v>
      </c>
    </row>
    <row r="234" spans="2:4" x14ac:dyDescent="0.2">
      <c r="C234" t="s">
        <v>142</v>
      </c>
    </row>
    <row r="235" spans="2:4" x14ac:dyDescent="0.2">
      <c r="C235" t="s">
        <v>250</v>
      </c>
    </row>
    <row r="236" spans="2:4" x14ac:dyDescent="0.2">
      <c r="C236" t="s">
        <v>263</v>
      </c>
    </row>
    <row r="237" spans="2:4" x14ac:dyDescent="0.2">
      <c r="C237" t="s">
        <v>264</v>
      </c>
    </row>
    <row r="238" spans="2:4" x14ac:dyDescent="0.2">
      <c r="C238" t="s">
        <v>265</v>
      </c>
    </row>
    <row r="239" spans="2:4" x14ac:dyDescent="0.2">
      <c r="C239" t="s">
        <v>266</v>
      </c>
    </row>
    <row r="240" spans="2:4" x14ac:dyDescent="0.2">
      <c r="C240" t="s">
        <v>267</v>
      </c>
    </row>
    <row r="241" spans="2:4" x14ac:dyDescent="0.2">
      <c r="C241" t="s">
        <v>256</v>
      </c>
    </row>
    <row r="242" spans="2:4" x14ac:dyDescent="0.2">
      <c r="C242" t="s">
        <v>257</v>
      </c>
    </row>
    <row r="243" spans="2:4" x14ac:dyDescent="0.2">
      <c r="C243" t="s">
        <v>258</v>
      </c>
    </row>
    <row r="244" spans="2:4" x14ac:dyDescent="0.2">
      <c r="B244" t="s">
        <v>142</v>
      </c>
    </row>
    <row r="246" spans="2:4" x14ac:dyDescent="0.2">
      <c r="B246" t="s">
        <v>268</v>
      </c>
    </row>
    <row r="247" spans="2:4" x14ac:dyDescent="0.2">
      <c r="B247" t="s">
        <v>269</v>
      </c>
    </row>
    <row r="248" spans="2:4" x14ac:dyDescent="0.2">
      <c r="C248" t="s">
        <v>246</v>
      </c>
    </row>
    <row r="249" spans="2:4" x14ac:dyDescent="0.2">
      <c r="C249" t="s">
        <v>247</v>
      </c>
    </row>
    <row r="250" spans="2:4" x14ac:dyDescent="0.2">
      <c r="D250" t="s">
        <v>270</v>
      </c>
    </row>
    <row r="251" spans="2:4" x14ac:dyDescent="0.2">
      <c r="D251" t="s">
        <v>271</v>
      </c>
    </row>
    <row r="252" spans="2:4" x14ac:dyDescent="0.2">
      <c r="C252" t="s">
        <v>142</v>
      </c>
    </row>
    <row r="253" spans="2:4" x14ac:dyDescent="0.2">
      <c r="C253" t="s">
        <v>272</v>
      </c>
    </row>
    <row r="254" spans="2:4" x14ac:dyDescent="0.2">
      <c r="C254" t="s">
        <v>273</v>
      </c>
    </row>
    <row r="255" spans="2:4" x14ac:dyDescent="0.2">
      <c r="C255" t="s">
        <v>274</v>
      </c>
    </row>
    <row r="256" spans="2:4" x14ac:dyDescent="0.2">
      <c r="C256" t="s">
        <v>275</v>
      </c>
    </row>
    <row r="257" spans="2:3" x14ac:dyDescent="0.2">
      <c r="C257" t="s">
        <v>276</v>
      </c>
    </row>
    <row r="258" spans="2:3" x14ac:dyDescent="0.2">
      <c r="C258" t="s">
        <v>277</v>
      </c>
    </row>
    <row r="259" spans="2:3" x14ac:dyDescent="0.2">
      <c r="C259" t="s">
        <v>256</v>
      </c>
    </row>
    <row r="260" spans="2:3" x14ac:dyDescent="0.2">
      <c r="C260" t="s">
        <v>257</v>
      </c>
    </row>
    <row r="261" spans="2:3" x14ac:dyDescent="0.2">
      <c r="C261" t="s">
        <v>258</v>
      </c>
    </row>
    <row r="262" spans="2:3" x14ac:dyDescent="0.2">
      <c r="B262" t="s">
        <v>142</v>
      </c>
    </row>
    <row r="264" spans="2:3" x14ac:dyDescent="0.2">
      <c r="B264" t="s">
        <v>278</v>
      </c>
    </row>
    <row r="265" spans="2:3" x14ac:dyDescent="0.2">
      <c r="B265" t="s">
        <v>279</v>
      </c>
    </row>
    <row r="266" spans="2:3" x14ac:dyDescent="0.2">
      <c r="C266" t="s">
        <v>280</v>
      </c>
    </row>
    <row r="267" spans="2:3" x14ac:dyDescent="0.2">
      <c r="C267" t="s">
        <v>281</v>
      </c>
    </row>
    <row r="268" spans="2:3" x14ac:dyDescent="0.2">
      <c r="C268" t="s">
        <v>282</v>
      </c>
    </row>
    <row r="269" spans="2:3" x14ac:dyDescent="0.2">
      <c r="C269" t="s">
        <v>283</v>
      </c>
    </row>
    <row r="270" spans="2:3" x14ac:dyDescent="0.2">
      <c r="C270" t="s">
        <v>284</v>
      </c>
    </row>
    <row r="271" spans="2:3" x14ac:dyDescent="0.2">
      <c r="C271" t="s">
        <v>285</v>
      </c>
    </row>
    <row r="272" spans="2:3" x14ac:dyDescent="0.2">
      <c r="C272" t="s">
        <v>286</v>
      </c>
    </row>
    <row r="273" spans="2:3" x14ac:dyDescent="0.2">
      <c r="C273" t="s">
        <v>287</v>
      </c>
    </row>
    <row r="274" spans="2:3" x14ac:dyDescent="0.2">
      <c r="C274" t="s">
        <v>288</v>
      </c>
    </row>
    <row r="275" spans="2:3" x14ac:dyDescent="0.2">
      <c r="C275" t="s">
        <v>289</v>
      </c>
    </row>
    <row r="276" spans="2:3" x14ac:dyDescent="0.2">
      <c r="B276" t="s">
        <v>142</v>
      </c>
    </row>
    <row r="278" spans="2:3" x14ac:dyDescent="0.2">
      <c r="B278" t="s">
        <v>290</v>
      </c>
    </row>
    <row r="279" spans="2:3" x14ac:dyDescent="0.2">
      <c r="B279" t="s">
        <v>291</v>
      </c>
    </row>
    <row r="280" spans="2:3" x14ac:dyDescent="0.2">
      <c r="C280" t="s">
        <v>292</v>
      </c>
    </row>
    <row r="281" spans="2:3" x14ac:dyDescent="0.2">
      <c r="B281" t="s">
        <v>293</v>
      </c>
    </row>
    <row r="282" spans="2:3" x14ac:dyDescent="0.2">
      <c r="B282" t="s">
        <v>294</v>
      </c>
    </row>
    <row r="283" spans="2:3" x14ac:dyDescent="0.2">
      <c r="B283" t="s">
        <v>295</v>
      </c>
    </row>
    <row r="284" spans="2:3" x14ac:dyDescent="0.2">
      <c r="B284" t="s">
        <v>296</v>
      </c>
    </row>
    <row r="286" spans="2:3" x14ac:dyDescent="0.2">
      <c r="B286" t="s">
        <v>297</v>
      </c>
    </row>
    <row r="287" spans="2:3" x14ac:dyDescent="0.2">
      <c r="B287" t="s">
        <v>298</v>
      </c>
    </row>
    <row r="288" spans="2:3" x14ac:dyDescent="0.2">
      <c r="B288" t="s">
        <v>299</v>
      </c>
    </row>
    <row r="290" spans="2:3" x14ac:dyDescent="0.2">
      <c r="B290" t="s">
        <v>300</v>
      </c>
    </row>
    <row r="291" spans="2:3" x14ac:dyDescent="0.2">
      <c r="C291" t="s">
        <v>301</v>
      </c>
    </row>
    <row r="292" spans="2:3" x14ac:dyDescent="0.2">
      <c r="B292" t="s">
        <v>142</v>
      </c>
    </row>
    <row r="294" spans="2:3" x14ac:dyDescent="0.2">
      <c r="B294" t="s">
        <v>302</v>
      </c>
    </row>
    <row r="295" spans="2:3" x14ac:dyDescent="0.2">
      <c r="B295" t="s">
        <v>303</v>
      </c>
    </row>
    <row r="296" spans="2:3" x14ac:dyDescent="0.2">
      <c r="C296" t="s">
        <v>292</v>
      </c>
    </row>
    <row r="297" spans="2:3" x14ac:dyDescent="0.2">
      <c r="B297" t="s">
        <v>304</v>
      </c>
    </row>
    <row r="298" spans="2:3" x14ac:dyDescent="0.2">
      <c r="C298" t="s">
        <v>305</v>
      </c>
    </row>
    <row r="299" spans="2:3" x14ac:dyDescent="0.2">
      <c r="C299" t="s">
        <v>306</v>
      </c>
    </row>
    <row r="301" spans="2:3" x14ac:dyDescent="0.2">
      <c r="B301" t="s">
        <v>307</v>
      </c>
    </row>
    <row r="302" spans="2:3" x14ac:dyDescent="0.2">
      <c r="B302" t="e">
        <f>-int    : Output values in integers, to avoid regional issues in Excel</f>
        <v>#NAME?</v>
      </c>
    </row>
    <row r="303" spans="2:3" x14ac:dyDescent="0.2">
      <c r="B303" t="s">
        <v>308</v>
      </c>
    </row>
    <row r="304" spans="2:3" x14ac:dyDescent="0.2">
      <c r="B304" t="s">
        <v>309</v>
      </c>
    </row>
    <row r="305" spans="2:2" x14ac:dyDescent="0.2">
      <c r="B305" t="s">
        <v>310</v>
      </c>
    </row>
    <row r="306" spans="2:2" x14ac:dyDescent="0.2">
      <c r="B306" t="s">
        <v>311</v>
      </c>
    </row>
    <row r="307" spans="2:2" x14ac:dyDescent="0.2">
      <c r="B307" t="e">
        <f>-tab    : Use tab-character as separator between values</f>
        <v>#NAME?</v>
      </c>
    </row>
    <row r="308" spans="2:2" x14ac:dyDescent="0.2">
      <c r="B308" t="s">
        <v>312</v>
      </c>
    </row>
    <row r="309" spans="2:2" x14ac:dyDescent="0.2">
      <c r="B309" t="s">
        <v>313</v>
      </c>
    </row>
    <row r="310" spans="2:2" x14ac:dyDescent="0.2">
      <c r="B310" t="e">
        <f>-va     : Display column with computed va</f>
        <v>#NAME?</v>
      </c>
    </row>
    <row r="311" spans="2:2" x14ac:dyDescent="0.2">
      <c r="B311" t="e">
        <f>-watt   : Display column with computed watt</f>
        <v>#NAME?</v>
      </c>
    </row>
    <row r="312" spans="2:2" x14ac:dyDescent="0.2">
      <c r="B312" t="s">
        <v>314</v>
      </c>
    </row>
    <row r="313" spans="2:2" x14ac:dyDescent="0.2">
      <c r="B313" t="e">
        <f>-d      : Debug-mode</f>
        <v>#NAME?</v>
      </c>
    </row>
    <row r="314" spans="2:2" x14ac:dyDescent="0.2">
      <c r="B314" t="e">
        <f>-start  : Show when a new measurement was started</f>
        <v>#NAME?</v>
      </c>
    </row>
    <row r="315" spans="2:2" x14ac:dyDescent="0.2">
      <c r="B315" t="e">
        <f>-dutch  : For Use in dutch Excel. Dateformat: d-M-Y. and options -sc -dpc</f>
        <v>#NAME?</v>
      </c>
    </row>
    <row r="316" spans="2:2" x14ac:dyDescent="0.2">
      <c r="B316" t="s">
        <v>315</v>
      </c>
    </row>
    <row r="317" spans="2:2" x14ac:dyDescent="0.2">
      <c r="B317" t="s">
        <v>316</v>
      </c>
    </row>
    <row r="318" spans="2:2" x14ac:dyDescent="0.2">
      <c r="B318" t="s">
        <v>317</v>
      </c>
    </row>
    <row r="319" spans="2:2" x14ac:dyDescent="0.2">
      <c r="B319" t="s">
        <v>318</v>
      </c>
    </row>
    <row r="320" spans="2:2" x14ac:dyDescent="0.2">
      <c r="B320" t="s">
        <v>319</v>
      </c>
    </row>
    <row r="321" spans="2:3" x14ac:dyDescent="0.2">
      <c r="B321" t="s">
        <v>320</v>
      </c>
    </row>
    <row r="322" spans="2:3" x14ac:dyDescent="0.2">
      <c r="B322" t="s">
        <v>321</v>
      </c>
    </row>
    <row r="323" spans="2:3" x14ac:dyDescent="0.2">
      <c r="B323" t="s">
        <v>322</v>
      </c>
    </row>
    <row r="324" spans="2:3" x14ac:dyDescent="0.2">
      <c r="B324" t="e">
        <f>-v      : Verbose</f>
        <v>#NAME?</v>
      </c>
    </row>
    <row r="325" spans="2:3" x14ac:dyDescent="0.2">
      <c r="B325" t="e">
        <f>-vv     : More verbose. Will also Show decoded values</f>
        <v>#NAME?</v>
      </c>
    </row>
    <row r="326" spans="2:3" x14ac:dyDescent="0.2">
      <c r="B326" t="e">
        <f>-version: Show program version</f>
        <v>#NAME?</v>
      </c>
    </row>
    <row r="327" spans="2:3" x14ac:dyDescent="0.2">
      <c r="B327" t="s">
        <v>323</v>
      </c>
    </row>
    <row r="328" spans="2:3" x14ac:dyDescent="0.2">
      <c r="B328" t="s">
        <v>300</v>
      </c>
    </row>
    <row r="329" spans="2:3" x14ac:dyDescent="0.2">
      <c r="C329" t="s">
        <v>301</v>
      </c>
    </row>
    <row r="330" spans="2:3" x14ac:dyDescent="0.2">
      <c r="B330" t="s">
        <v>142</v>
      </c>
    </row>
    <row r="332" spans="2:3" x14ac:dyDescent="0.2">
      <c r="B332" t="s">
        <v>324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4"/>
  <dimension ref="B2:O90"/>
  <sheetViews>
    <sheetView workbookViewId="0">
      <selection activeCell="B2" sqref="B2"/>
    </sheetView>
  </sheetViews>
  <sheetFormatPr defaultColWidth="9.140625" defaultRowHeight="12.75" x14ac:dyDescent="0.2"/>
  <sheetData>
    <row r="2" spans="2:3" x14ac:dyDescent="0.2">
      <c r="B2" t="s">
        <v>325</v>
      </c>
    </row>
    <row r="3" spans="2:3" x14ac:dyDescent="0.2">
      <c r="B3" t="s">
        <v>326</v>
      </c>
    </row>
    <row r="5" spans="2:3" x14ac:dyDescent="0.2">
      <c r="B5" t="s">
        <v>327</v>
      </c>
    </row>
    <row r="6" spans="2:3" x14ac:dyDescent="0.2">
      <c r="B6" t="s">
        <v>328</v>
      </c>
    </row>
    <row r="7" spans="2:3" x14ac:dyDescent="0.2">
      <c r="B7" t="s">
        <v>329</v>
      </c>
    </row>
    <row r="10" spans="2:3" x14ac:dyDescent="0.2">
      <c r="B10" t="s">
        <v>330</v>
      </c>
    </row>
    <row r="11" spans="2:3" x14ac:dyDescent="0.2">
      <c r="B11" t="s">
        <v>331</v>
      </c>
    </row>
    <row r="12" spans="2:3" x14ac:dyDescent="0.2">
      <c r="C12" t="s">
        <v>332</v>
      </c>
    </row>
    <row r="13" spans="2:3" x14ac:dyDescent="0.2">
      <c r="C13" t="s">
        <v>333</v>
      </c>
    </row>
    <row r="14" spans="2:3" x14ac:dyDescent="0.2">
      <c r="C14" t="s">
        <v>334</v>
      </c>
    </row>
    <row r="15" spans="2:3" x14ac:dyDescent="0.2">
      <c r="C15" t="s">
        <v>335</v>
      </c>
    </row>
    <row r="17" spans="3:8" x14ac:dyDescent="0.2">
      <c r="C17" t="s">
        <v>336</v>
      </c>
    </row>
    <row r="18" spans="3:8" x14ac:dyDescent="0.2">
      <c r="C18" t="s">
        <v>331</v>
      </c>
    </row>
    <row r="19" spans="3:8" x14ac:dyDescent="0.2">
      <c r="D19" t="s">
        <v>337</v>
      </c>
    </row>
    <row r="20" spans="3:8" x14ac:dyDescent="0.2">
      <c r="D20" t="s">
        <v>338</v>
      </c>
    </row>
    <row r="21" spans="3:8" x14ac:dyDescent="0.2">
      <c r="D21" t="s">
        <v>331</v>
      </c>
    </row>
    <row r="22" spans="3:8" x14ac:dyDescent="0.2">
      <c r="E22" t="s">
        <v>339</v>
      </c>
    </row>
    <row r="23" spans="3:8" x14ac:dyDescent="0.2">
      <c r="E23" t="s">
        <v>340</v>
      </c>
    </row>
    <row r="24" spans="3:8" x14ac:dyDescent="0.2">
      <c r="E24" t="s">
        <v>331</v>
      </c>
    </row>
    <row r="25" spans="3:8" x14ac:dyDescent="0.2">
      <c r="F25" t="s">
        <v>341</v>
      </c>
    </row>
    <row r="26" spans="3:8" x14ac:dyDescent="0.2">
      <c r="F26" t="s">
        <v>342</v>
      </c>
    </row>
    <row r="27" spans="3:8" x14ac:dyDescent="0.2">
      <c r="F27" t="s">
        <v>331</v>
      </c>
    </row>
    <row r="28" spans="3:8" x14ac:dyDescent="0.2">
      <c r="G28" t="s">
        <v>343</v>
      </c>
    </row>
    <row r="29" spans="3:8" x14ac:dyDescent="0.2">
      <c r="G29" t="s">
        <v>344</v>
      </c>
    </row>
    <row r="30" spans="3:8" x14ac:dyDescent="0.2">
      <c r="G30" t="s">
        <v>331</v>
      </c>
    </row>
    <row r="31" spans="3:8" x14ac:dyDescent="0.2">
      <c r="H31" t="s">
        <v>345</v>
      </c>
    </row>
    <row r="32" spans="3:8" x14ac:dyDescent="0.2">
      <c r="H32" t="s">
        <v>346</v>
      </c>
    </row>
    <row r="33" spans="8:10" x14ac:dyDescent="0.2">
      <c r="H33" t="s">
        <v>347</v>
      </c>
    </row>
    <row r="34" spans="8:10" x14ac:dyDescent="0.2">
      <c r="H34" t="s">
        <v>348</v>
      </c>
    </row>
    <row r="36" spans="8:10" x14ac:dyDescent="0.2">
      <c r="H36" t="s">
        <v>349</v>
      </c>
    </row>
    <row r="37" spans="8:10" x14ac:dyDescent="0.2">
      <c r="H37" t="s">
        <v>331</v>
      </c>
    </row>
    <row r="38" spans="8:10" x14ac:dyDescent="0.2">
      <c r="I38" t="s">
        <v>350</v>
      </c>
    </row>
    <row r="39" spans="8:10" x14ac:dyDescent="0.2">
      <c r="J39" t="s">
        <v>351</v>
      </c>
    </row>
    <row r="40" spans="8:10" x14ac:dyDescent="0.2">
      <c r="I40" t="s">
        <v>352</v>
      </c>
    </row>
    <row r="41" spans="8:10" x14ac:dyDescent="0.2">
      <c r="I41" t="s">
        <v>331</v>
      </c>
    </row>
    <row r="42" spans="8:10" x14ac:dyDescent="0.2">
      <c r="J42" t="s">
        <v>353</v>
      </c>
    </row>
    <row r="43" spans="8:10" x14ac:dyDescent="0.2">
      <c r="J43" t="s">
        <v>354</v>
      </c>
    </row>
    <row r="44" spans="8:10" x14ac:dyDescent="0.2">
      <c r="J44" t="s">
        <v>355</v>
      </c>
    </row>
    <row r="45" spans="8:10" x14ac:dyDescent="0.2">
      <c r="J45" t="s">
        <v>356</v>
      </c>
    </row>
    <row r="46" spans="8:10" x14ac:dyDescent="0.2">
      <c r="J46" t="s">
        <v>357</v>
      </c>
    </row>
    <row r="47" spans="8:10" x14ac:dyDescent="0.2">
      <c r="J47" t="s">
        <v>358</v>
      </c>
    </row>
    <row r="48" spans="8:10" x14ac:dyDescent="0.2">
      <c r="J48" t="s">
        <v>359</v>
      </c>
    </row>
    <row r="49" spans="9:15" x14ac:dyDescent="0.2">
      <c r="J49" t="s">
        <v>360</v>
      </c>
    </row>
    <row r="50" spans="9:15" x14ac:dyDescent="0.2">
      <c r="J50" t="s">
        <v>361</v>
      </c>
    </row>
    <row r="51" spans="9:15" x14ac:dyDescent="0.2">
      <c r="J51" t="s">
        <v>362</v>
      </c>
    </row>
    <row r="52" spans="9:15" x14ac:dyDescent="0.2">
      <c r="I52" t="s">
        <v>142</v>
      </c>
    </row>
    <row r="53" spans="9:15" x14ac:dyDescent="0.2">
      <c r="I53" t="s">
        <v>363</v>
      </c>
    </row>
    <row r="54" spans="9:15" x14ac:dyDescent="0.2">
      <c r="I54" t="s">
        <v>331</v>
      </c>
    </row>
    <row r="55" spans="9:15" x14ac:dyDescent="0.2">
      <c r="J55" t="s">
        <v>364</v>
      </c>
    </row>
    <row r="56" spans="9:15" x14ac:dyDescent="0.2">
      <c r="J56" t="s">
        <v>365</v>
      </c>
      <c r="K56" t="s">
        <v>366</v>
      </c>
    </row>
    <row r="57" spans="9:15" x14ac:dyDescent="0.2">
      <c r="J57" t="s">
        <v>367</v>
      </c>
      <c r="K57" t="s">
        <v>368</v>
      </c>
    </row>
    <row r="58" spans="9:15" x14ac:dyDescent="0.2">
      <c r="J58" t="s">
        <v>369</v>
      </c>
      <c r="O58" t="s">
        <v>370</v>
      </c>
    </row>
    <row r="59" spans="9:15" x14ac:dyDescent="0.2">
      <c r="J59" t="s">
        <v>371</v>
      </c>
    </row>
    <row r="60" spans="9:15" x14ac:dyDescent="0.2">
      <c r="J60" t="s">
        <v>372</v>
      </c>
    </row>
    <row r="61" spans="9:15" x14ac:dyDescent="0.2">
      <c r="J61" t="s">
        <v>373</v>
      </c>
    </row>
    <row r="62" spans="9:15" x14ac:dyDescent="0.2">
      <c r="J62" t="s">
        <v>374</v>
      </c>
    </row>
    <row r="63" spans="9:15" x14ac:dyDescent="0.2">
      <c r="I63" t="s">
        <v>142</v>
      </c>
    </row>
    <row r="64" spans="9:15" x14ac:dyDescent="0.2">
      <c r="I64" t="s">
        <v>375</v>
      </c>
    </row>
    <row r="65" spans="5:10" x14ac:dyDescent="0.2">
      <c r="I65" t="s">
        <v>331</v>
      </c>
    </row>
    <row r="66" spans="5:10" x14ac:dyDescent="0.2">
      <c r="J66" t="s">
        <v>376</v>
      </c>
    </row>
    <row r="67" spans="5:10" x14ac:dyDescent="0.2">
      <c r="J67" t="s">
        <v>377</v>
      </c>
    </row>
    <row r="68" spans="5:10" x14ac:dyDescent="0.2">
      <c r="I68" t="s">
        <v>142</v>
      </c>
    </row>
    <row r="70" spans="5:10" x14ac:dyDescent="0.2">
      <c r="H70" t="s">
        <v>142</v>
      </c>
    </row>
    <row r="71" spans="5:10" x14ac:dyDescent="0.2">
      <c r="H71" t="s">
        <v>378</v>
      </c>
    </row>
    <row r="72" spans="5:10" x14ac:dyDescent="0.2">
      <c r="H72" t="s">
        <v>379</v>
      </c>
    </row>
    <row r="73" spans="5:10" x14ac:dyDescent="0.2">
      <c r="G73" t="s">
        <v>142</v>
      </c>
    </row>
    <row r="74" spans="5:10" x14ac:dyDescent="0.2">
      <c r="G74" t="s">
        <v>380</v>
      </c>
    </row>
    <row r="75" spans="5:10" x14ac:dyDescent="0.2">
      <c r="F75" t="s">
        <v>142</v>
      </c>
    </row>
    <row r="76" spans="5:10" x14ac:dyDescent="0.2">
      <c r="F76" t="s">
        <v>381</v>
      </c>
    </row>
    <row r="78" spans="5:10" x14ac:dyDescent="0.2">
      <c r="F78" t="s">
        <v>382</v>
      </c>
    </row>
    <row r="79" spans="5:10" x14ac:dyDescent="0.2">
      <c r="E79" t="s">
        <v>142</v>
      </c>
    </row>
    <row r="80" spans="5:10" x14ac:dyDescent="0.2">
      <c r="E80" t="s">
        <v>383</v>
      </c>
    </row>
    <row r="81" spans="2:5" x14ac:dyDescent="0.2">
      <c r="E81" t="s">
        <v>384</v>
      </c>
    </row>
    <row r="82" spans="2:5" x14ac:dyDescent="0.2">
      <c r="D82" t="s">
        <v>142</v>
      </c>
    </row>
    <row r="83" spans="2:5" x14ac:dyDescent="0.2">
      <c r="D83" t="s">
        <v>385</v>
      </c>
    </row>
    <row r="84" spans="2:5" x14ac:dyDescent="0.2">
      <c r="C84" t="s">
        <v>142</v>
      </c>
    </row>
    <row r="85" spans="2:5" x14ac:dyDescent="0.2">
      <c r="C85" t="s">
        <v>375</v>
      </c>
    </row>
    <row r="86" spans="2:5" x14ac:dyDescent="0.2">
      <c r="C86" t="s">
        <v>331</v>
      </c>
    </row>
    <row r="87" spans="2:5" x14ac:dyDescent="0.2">
      <c r="D87" t="s">
        <v>386</v>
      </c>
    </row>
    <row r="88" spans="2:5" x14ac:dyDescent="0.2">
      <c r="C88" t="s">
        <v>142</v>
      </c>
    </row>
    <row r="89" spans="2:5" x14ac:dyDescent="0.2">
      <c r="C89" t="s">
        <v>387</v>
      </c>
    </row>
    <row r="90" spans="2:5" x14ac:dyDescent="0.2">
      <c r="B90" t="s">
        <v>142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C08FF31-5D97-4335-A7FC-9D19A9E6A5D9}">
  <sheetPr codeName="Sheet6"/>
  <dimension ref="A2:R107"/>
  <sheetViews>
    <sheetView workbookViewId="0">
      <selection activeCell="H46" sqref="H46"/>
    </sheetView>
  </sheetViews>
  <sheetFormatPr defaultRowHeight="12.75" x14ac:dyDescent="0.2"/>
  <sheetData>
    <row r="2" spans="1:18" x14ac:dyDescent="0.2">
      <c r="B2" s="1" t="s">
        <v>452</v>
      </c>
    </row>
    <row r="3" spans="1:18" x14ac:dyDescent="0.2">
      <c r="B3" s="1" t="s">
        <v>453</v>
      </c>
    </row>
    <row r="4" spans="1:18" x14ac:dyDescent="0.2">
      <c r="B4" s="1" t="s">
        <v>454</v>
      </c>
    </row>
    <row r="5" spans="1:18" x14ac:dyDescent="0.2">
      <c r="C5" s="1" t="s">
        <v>455</v>
      </c>
    </row>
    <row r="6" spans="1:18" x14ac:dyDescent="0.2">
      <c r="C6" s="1"/>
    </row>
    <row r="7" spans="1:18" x14ac:dyDescent="0.2">
      <c r="A7" s="5"/>
      <c r="B7" s="5"/>
      <c r="C7" s="3"/>
      <c r="D7" s="5"/>
      <c r="E7" s="5"/>
      <c r="F7" s="5"/>
      <c r="G7" s="5"/>
      <c r="H7" s="5"/>
      <c r="I7" s="5"/>
      <c r="J7" s="5"/>
      <c r="K7" s="5"/>
      <c r="L7" s="5"/>
      <c r="M7" s="5"/>
      <c r="N7" s="5"/>
      <c r="O7" s="5"/>
      <c r="P7" s="5"/>
      <c r="Q7" s="5"/>
      <c r="R7" s="5"/>
    </row>
    <row r="9" spans="1:18" x14ac:dyDescent="0.2">
      <c r="B9" t="s">
        <v>325</v>
      </c>
    </row>
    <row r="10" spans="1:18" x14ac:dyDescent="0.2">
      <c r="B10" t="s">
        <v>326</v>
      </c>
    </row>
    <row r="11" spans="1:18" x14ac:dyDescent="0.2">
      <c r="B11" t="s">
        <v>409</v>
      </c>
    </row>
    <row r="13" spans="1:18" x14ac:dyDescent="0.2">
      <c r="B13" t="s">
        <v>410</v>
      </c>
    </row>
    <row r="14" spans="1:18" x14ac:dyDescent="0.2">
      <c r="B14" t="s">
        <v>411</v>
      </c>
    </row>
    <row r="15" spans="1:18" x14ac:dyDescent="0.2">
      <c r="B15" t="s">
        <v>412</v>
      </c>
    </row>
    <row r="16" spans="1:18" x14ac:dyDescent="0.2">
      <c r="B16" t="s">
        <v>413</v>
      </c>
    </row>
    <row r="17" spans="2:4" x14ac:dyDescent="0.2">
      <c r="B17" t="s">
        <v>414</v>
      </c>
    </row>
    <row r="18" spans="2:4" x14ac:dyDescent="0.2">
      <c r="B18" t="s">
        <v>415</v>
      </c>
    </row>
    <row r="19" spans="2:4" x14ac:dyDescent="0.2">
      <c r="B19" t="s">
        <v>416</v>
      </c>
    </row>
    <row r="20" spans="2:4" x14ac:dyDescent="0.2">
      <c r="B20" t="s">
        <v>328</v>
      </c>
    </row>
    <row r="21" spans="2:4" x14ac:dyDescent="0.2">
      <c r="B21" t="s">
        <v>329</v>
      </c>
    </row>
    <row r="23" spans="2:4" x14ac:dyDescent="0.2">
      <c r="B23" t="s">
        <v>330</v>
      </c>
    </row>
    <row r="24" spans="2:4" x14ac:dyDescent="0.2">
      <c r="B24" t="s">
        <v>331</v>
      </c>
    </row>
    <row r="25" spans="2:4" x14ac:dyDescent="0.2">
      <c r="C25" t="s">
        <v>417</v>
      </c>
    </row>
    <row r="26" spans="2:4" x14ac:dyDescent="0.2">
      <c r="C26" t="s">
        <v>418</v>
      </c>
    </row>
    <row r="27" spans="2:4" x14ac:dyDescent="0.2">
      <c r="C27" t="s">
        <v>334</v>
      </c>
    </row>
    <row r="28" spans="2:4" x14ac:dyDescent="0.2">
      <c r="C28" t="s">
        <v>335</v>
      </c>
    </row>
    <row r="30" spans="2:4" x14ac:dyDescent="0.2">
      <c r="C30" t="s">
        <v>419</v>
      </c>
    </row>
    <row r="31" spans="2:4" x14ac:dyDescent="0.2">
      <c r="C31" t="s">
        <v>331</v>
      </c>
    </row>
    <row r="32" spans="2:4" x14ac:dyDescent="0.2">
      <c r="D32" t="s">
        <v>420</v>
      </c>
    </row>
    <row r="33" spans="4:8" x14ac:dyDescent="0.2">
      <c r="D33" t="s">
        <v>421</v>
      </c>
    </row>
    <row r="34" spans="4:8" x14ac:dyDescent="0.2">
      <c r="D34" t="s">
        <v>331</v>
      </c>
    </row>
    <row r="35" spans="4:8" x14ac:dyDescent="0.2">
      <c r="E35" t="s">
        <v>422</v>
      </c>
    </row>
    <row r="36" spans="4:8" x14ac:dyDescent="0.2">
      <c r="E36" t="s">
        <v>423</v>
      </c>
    </row>
    <row r="37" spans="4:8" x14ac:dyDescent="0.2">
      <c r="E37" t="s">
        <v>331</v>
      </c>
    </row>
    <row r="38" spans="4:8" x14ac:dyDescent="0.2">
      <c r="F38" t="s">
        <v>424</v>
      </c>
    </row>
    <row r="39" spans="4:8" x14ac:dyDescent="0.2">
      <c r="F39" t="s">
        <v>425</v>
      </c>
    </row>
    <row r="40" spans="4:8" x14ac:dyDescent="0.2">
      <c r="F40" t="s">
        <v>331</v>
      </c>
    </row>
    <row r="41" spans="4:8" x14ac:dyDescent="0.2">
      <c r="G41" t="s">
        <v>426</v>
      </c>
    </row>
    <row r="42" spans="4:8" x14ac:dyDescent="0.2">
      <c r="G42" t="s">
        <v>427</v>
      </c>
    </row>
    <row r="43" spans="4:8" x14ac:dyDescent="0.2">
      <c r="G43" t="s">
        <v>331</v>
      </c>
    </row>
    <row r="44" spans="4:8" x14ac:dyDescent="0.2">
      <c r="H44" s="1" t="s">
        <v>456</v>
      </c>
    </row>
    <row r="45" spans="4:8" x14ac:dyDescent="0.2">
      <c r="H45" t="s">
        <v>447</v>
      </c>
    </row>
    <row r="47" spans="4:8" x14ac:dyDescent="0.2">
      <c r="H47" t="s">
        <v>428</v>
      </c>
    </row>
    <row r="48" spans="4:8" x14ac:dyDescent="0.2">
      <c r="H48" t="s">
        <v>346</v>
      </c>
    </row>
    <row r="49" spans="8:10" x14ac:dyDescent="0.2">
      <c r="H49" t="s">
        <v>429</v>
      </c>
    </row>
    <row r="50" spans="8:10" x14ac:dyDescent="0.2">
      <c r="H50" t="s">
        <v>348</v>
      </c>
    </row>
    <row r="52" spans="8:10" x14ac:dyDescent="0.2">
      <c r="H52" t="s">
        <v>430</v>
      </c>
    </row>
    <row r="53" spans="8:10" x14ac:dyDescent="0.2">
      <c r="H53" t="s">
        <v>331</v>
      </c>
    </row>
    <row r="54" spans="8:10" x14ac:dyDescent="0.2">
      <c r="I54" t="s">
        <v>431</v>
      </c>
    </row>
    <row r="55" spans="8:10" x14ac:dyDescent="0.2">
      <c r="J55" t="s">
        <v>351</v>
      </c>
    </row>
    <row r="56" spans="8:10" x14ac:dyDescent="0.2">
      <c r="I56" t="s">
        <v>432</v>
      </c>
    </row>
    <row r="57" spans="8:10" x14ac:dyDescent="0.2">
      <c r="I57" t="s">
        <v>331</v>
      </c>
    </row>
    <row r="58" spans="8:10" x14ac:dyDescent="0.2">
      <c r="J58" t="s">
        <v>353</v>
      </c>
    </row>
    <row r="59" spans="8:10" x14ac:dyDescent="0.2">
      <c r="J59" t="s">
        <v>433</v>
      </c>
    </row>
    <row r="60" spans="8:10" x14ac:dyDescent="0.2">
      <c r="J60" t="s">
        <v>434</v>
      </c>
    </row>
    <row r="61" spans="8:10" x14ac:dyDescent="0.2">
      <c r="J61" t="s">
        <v>356</v>
      </c>
    </row>
    <row r="62" spans="8:10" x14ac:dyDescent="0.2">
      <c r="J62" t="s">
        <v>435</v>
      </c>
    </row>
    <row r="63" spans="8:10" x14ac:dyDescent="0.2">
      <c r="J63" t="s">
        <v>358</v>
      </c>
    </row>
    <row r="64" spans="8:10" x14ac:dyDescent="0.2">
      <c r="J64" t="s">
        <v>436</v>
      </c>
    </row>
    <row r="65" spans="9:15" x14ac:dyDescent="0.2">
      <c r="J65" t="s">
        <v>437</v>
      </c>
    </row>
    <row r="66" spans="9:15" x14ac:dyDescent="0.2">
      <c r="J66" t="s">
        <v>361</v>
      </c>
    </row>
    <row r="67" spans="9:15" x14ac:dyDescent="0.2">
      <c r="J67" t="s">
        <v>362</v>
      </c>
    </row>
    <row r="68" spans="9:15" x14ac:dyDescent="0.2">
      <c r="I68" t="s">
        <v>142</v>
      </c>
    </row>
    <row r="69" spans="9:15" x14ac:dyDescent="0.2">
      <c r="I69" t="s">
        <v>438</v>
      </c>
    </row>
    <row r="70" spans="9:15" x14ac:dyDescent="0.2">
      <c r="I70" t="s">
        <v>331</v>
      </c>
    </row>
    <row r="71" spans="9:15" x14ac:dyDescent="0.2">
      <c r="J71" t="s">
        <v>364</v>
      </c>
    </row>
    <row r="72" spans="9:15" x14ac:dyDescent="0.2">
      <c r="J72" t="s">
        <v>439</v>
      </c>
      <c r="K72" t="s">
        <v>366</v>
      </c>
    </row>
    <row r="73" spans="9:15" x14ac:dyDescent="0.2">
      <c r="J73" t="s">
        <v>440</v>
      </c>
      <c r="K73" t="s">
        <v>368</v>
      </c>
    </row>
    <row r="74" spans="9:15" x14ac:dyDescent="0.2">
      <c r="J74" t="s">
        <v>441</v>
      </c>
      <c r="O74" t="s">
        <v>370</v>
      </c>
    </row>
    <row r="75" spans="9:15" x14ac:dyDescent="0.2">
      <c r="J75" t="s">
        <v>442</v>
      </c>
    </row>
    <row r="76" spans="9:15" x14ac:dyDescent="0.2">
      <c r="J76" t="s">
        <v>372</v>
      </c>
    </row>
    <row r="77" spans="9:15" x14ac:dyDescent="0.2">
      <c r="J77" t="s">
        <v>443</v>
      </c>
    </row>
    <row r="78" spans="9:15" x14ac:dyDescent="0.2">
      <c r="J78" t="s">
        <v>444</v>
      </c>
    </row>
    <row r="79" spans="9:15" x14ac:dyDescent="0.2">
      <c r="J79" t="s">
        <v>445</v>
      </c>
    </row>
    <row r="80" spans="9:15" x14ac:dyDescent="0.2">
      <c r="J80" t="s">
        <v>446</v>
      </c>
    </row>
    <row r="81" spans="7:10" x14ac:dyDescent="0.2">
      <c r="J81" t="s">
        <v>448</v>
      </c>
    </row>
    <row r="82" spans="7:10" x14ac:dyDescent="0.2">
      <c r="J82" t="s">
        <v>449</v>
      </c>
    </row>
    <row r="83" spans="7:10" x14ac:dyDescent="0.2">
      <c r="J83" t="s">
        <v>450</v>
      </c>
    </row>
    <row r="84" spans="7:10" x14ac:dyDescent="0.2">
      <c r="J84" t="s">
        <v>451</v>
      </c>
    </row>
    <row r="85" spans="7:10" x14ac:dyDescent="0.2">
      <c r="J85" t="s">
        <v>374</v>
      </c>
    </row>
    <row r="86" spans="7:10" x14ac:dyDescent="0.2">
      <c r="I86" t="s">
        <v>142</v>
      </c>
    </row>
    <row r="87" spans="7:10" x14ac:dyDescent="0.2">
      <c r="I87" t="s">
        <v>375</v>
      </c>
    </row>
    <row r="88" spans="7:10" x14ac:dyDescent="0.2">
      <c r="I88" t="s">
        <v>331</v>
      </c>
    </row>
    <row r="89" spans="7:10" x14ac:dyDescent="0.2">
      <c r="J89" t="s">
        <v>376</v>
      </c>
    </row>
    <row r="90" spans="7:10" x14ac:dyDescent="0.2">
      <c r="J90" t="s">
        <v>377</v>
      </c>
    </row>
    <row r="91" spans="7:10" x14ac:dyDescent="0.2">
      <c r="I91" t="s">
        <v>142</v>
      </c>
    </row>
    <row r="93" spans="7:10" x14ac:dyDescent="0.2">
      <c r="H93" t="s">
        <v>142</v>
      </c>
    </row>
    <row r="94" spans="7:10" x14ac:dyDescent="0.2">
      <c r="H94" t="s">
        <v>378</v>
      </c>
    </row>
    <row r="95" spans="7:10" x14ac:dyDescent="0.2">
      <c r="H95" t="s">
        <v>379</v>
      </c>
    </row>
    <row r="96" spans="7:10" x14ac:dyDescent="0.2">
      <c r="G96" t="s">
        <v>142</v>
      </c>
    </row>
    <row r="97" spans="3:7" x14ac:dyDescent="0.2">
      <c r="G97" t="s">
        <v>380</v>
      </c>
    </row>
    <row r="98" spans="3:7" x14ac:dyDescent="0.2">
      <c r="F98" t="s">
        <v>142</v>
      </c>
    </row>
    <row r="99" spans="3:7" x14ac:dyDescent="0.2">
      <c r="F99" t="s">
        <v>381</v>
      </c>
    </row>
    <row r="101" spans="3:7" x14ac:dyDescent="0.2">
      <c r="F101" t="s">
        <v>382</v>
      </c>
    </row>
    <row r="102" spans="3:7" x14ac:dyDescent="0.2">
      <c r="E102" t="s">
        <v>142</v>
      </c>
    </row>
    <row r="103" spans="3:7" x14ac:dyDescent="0.2">
      <c r="E103" t="s">
        <v>383</v>
      </c>
    </row>
    <row r="104" spans="3:7" x14ac:dyDescent="0.2">
      <c r="E104" t="s">
        <v>384</v>
      </c>
    </row>
    <row r="105" spans="3:7" x14ac:dyDescent="0.2">
      <c r="D105" t="s">
        <v>142</v>
      </c>
    </row>
    <row r="106" spans="3:7" x14ac:dyDescent="0.2">
      <c r="D106" t="s">
        <v>385</v>
      </c>
    </row>
    <row r="107" spans="3:7" x14ac:dyDescent="0.2">
      <c r="C107" t="s">
        <v>142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9</vt:i4>
      </vt:variant>
      <vt:variant>
        <vt:lpstr>Named Ranges</vt:lpstr>
      </vt:variant>
      <vt:variant>
        <vt:i4>3</vt:i4>
      </vt:variant>
    </vt:vector>
  </HeadingPairs>
  <TitlesOfParts>
    <vt:vector size="12" baseType="lpstr">
      <vt:lpstr>Daten</vt:lpstr>
      <vt:lpstr>InfoZsf</vt:lpstr>
      <vt:lpstr>bin-File-Structures</vt:lpstr>
      <vt:lpstr>bin-File-Structures_2</vt:lpstr>
      <vt:lpstr>bin-File-Structures_3</vt:lpstr>
      <vt:lpstr>Sheet3</vt:lpstr>
      <vt:lpstr>Perl-Skript</vt:lpstr>
      <vt:lpstr>C++ code_orig</vt:lpstr>
      <vt:lpstr>C++ code_VS2019</vt:lpstr>
      <vt:lpstr>DatenTabelle</vt:lpstr>
      <vt:lpstr>InfoTabelle</vt:lpstr>
      <vt:lpstr>Daten!Print_Area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Werner Schleifer</dc:creator>
  <cp:lastModifiedBy>volker frank</cp:lastModifiedBy>
  <cp:lastPrinted>2010-09-10T14:33:43Z</cp:lastPrinted>
  <dcterms:created xsi:type="dcterms:W3CDTF">2010-03-02T10:06:39Z</dcterms:created>
  <dcterms:modified xsi:type="dcterms:W3CDTF">2022-01-25T21:49:05Z</dcterms:modified>
</cp:coreProperties>
</file>